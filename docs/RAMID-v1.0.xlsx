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comments3.xml" ContentType="application/vnd.openxmlformats-officedocument.spreadsheetml.comments+xml"/>
  <Override PartName="/xl/styles.xml" ContentType="application/vnd.openxmlformats-officedocument.spreadsheetml.styles+xml"/>
  <Override PartName="/xl/worksheets/sheet1.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11.xml.rels" ContentType="application/vnd.openxmlformats-package.relationships+xml"/>
  <Override PartName="/xl/worksheets/_rels/sheet10.xml.rels" ContentType="application/vnd.openxmlformats-package.relationships+xml"/>
  <Override PartName="/xl/worksheets/_rels/sheet6.xml.rels" ContentType="application/vnd.openxmlformats-package.relationships+xml"/>
  <Override PartName="/xl/worksheets/_rels/sheet3.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xl/comments10.xml" ContentType="application/vnd.openxmlformats-officedocument.spreadsheetml.comments+xml"/>
  <Override PartName="/xl/drawings/drawing1.xml" ContentType="application/vnd.openxmlformats-officedocument.drawing+xml"/>
  <Override PartName="/xl/drawings/vmlDrawing3.vml" ContentType="application/vnd.openxmlformats-officedocument.vmlDrawing"/>
  <Override PartName="/xl/drawings/vmlDrawing1.vml" ContentType="application/vnd.openxmlformats-officedocument.vmlDrawing"/>
  <Override PartName="/xl/drawings/drawing2.xml" ContentType="application/vnd.openxmlformats-officedocument.drawing+xml"/>
  <Override PartName="/xl/drawings/vmlDrawing2.vml" ContentType="application/vnd.openxmlformats-officedocument.vmlDrawing"/>
  <Override PartName="/xl/comments11.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1.xml" ContentType="application/xml"/>
  <Override PartName="/customXml/itemProps1.xml" ContentType="application/vnd.openxmlformats-officedocument.customXmlProperties+xml"/>
  <Override PartName="/customXml/item2.xml" ContentType="application/xml"/>
  <Override PartName="/customXml/_rels/item3.xml.rels" ContentType="application/vnd.openxmlformats-package.relationships+xml"/>
  <Override PartName="/customXml/_rels/item2.xml.rels" ContentType="application/vnd.openxmlformats-package.relationships+xml"/>
  <Override PartName="/customXml/_rels/item1.xml.rels" ContentType="application/vnd.openxmlformats-package.relationships+xml"/>
  <Override PartName="/customXml/itemProps2.xml" ContentType="application/vnd.openxmlformats-officedocument.customXmlProperties+xml"/>
  <Override PartName="/customXml/item3.xml" ContentType="application/xml"/>
  <Override PartName="/customXml/itemProps3.xml" ContentType="application/vnd.openxmlformats-officedocument.customXml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5" Type="http://schemas.openxmlformats.org/officeDocument/2006/relationships/customXml" Target="../customXml/item1.xml"/><Relationship Id="rId6" Type="http://schemas.openxmlformats.org/officeDocument/2006/relationships/customXml" Target="../customXml/item2.xml"/><Relationship Id="rId7" Type="http://schemas.openxmlformats.org/officeDocument/2006/relationships/customXml" Target="../customXml/item3.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8"/>
  </bookViews>
  <sheets>
    <sheet name="Cover Page" sheetId="1" state="visible" r:id="rId3"/>
    <sheet name="Summary" sheetId="2" state="visible" r:id="rId4"/>
    <sheet name="Risks" sheetId="3" state="visible" r:id="rId5"/>
    <sheet name="Action Items" sheetId="4" state="visible" r:id="rId6"/>
    <sheet name="Assumptions" sheetId="5" state="visible" r:id="rId7"/>
    <sheet name="Milestones" sheetId="6" state="visible" r:id="rId8"/>
    <sheet name="Issues" sheetId="7" state="visible" r:id="rId9"/>
    <sheet name="Decisions" sheetId="8" state="visible" r:id="rId10"/>
    <sheet name="Dependencies" sheetId="9" state="visible" r:id="rId11"/>
    <sheet name="KPI" sheetId="10" state="visible" r:id="rId12"/>
    <sheet name="LOV" sheetId="11" state="visible" r:id="rId13"/>
    <sheet name="Risk Chart" sheetId="12" state="hidden" r:id="rId14"/>
  </sheets>
  <definedNames>
    <definedName function="false" hidden="true" localSheetId="5" name="_xlnm._FilterDatabase" vbProcedure="false">Milestones!$A$2:$Q$2</definedName>
    <definedName function="false" hidden="true" localSheetId="2" name="_xlnm._FilterDatabase" vbProcedure="false">Risks!$A$2:$S$2</definedName>
    <definedName function="false" hidden="false" name="Probablity" vbProcedure="false">Risks!$F$2</definedName>
    <definedName function="false" hidden="false" localSheetId="2" name="Probabilty" vbProcedure="false">Risks!$F$2</definedName>
    <definedName function="false" hidden="false" localSheetId="5" name="Probabilty" vbProcedure="false">milestones!#ref!</definedName>
    <definedName function="false" hidden="false" localSheetId="5" name="Probablity" vbProcedure="false">milestones!#ref!</definedName>
  </definedNames>
  <calcPr iterateCount="100" refMode="A1" iterate="false" iterateDelta="0.0001"/>
  <extLst>
    <ext xmlns:loext="http://schemas.libreoffice.org/" uri="{7626C862-2A13-11E5-B345-FEFF819CDC9F}">
      <loext:extCalcPr stringRefSyntax="ExcelA1"/>
    </ext>
  </extLst>
</workbook>
</file>

<file path=xl/comments3.xml><?xml version="1.0" encoding="utf-8"?>
<comments xmlns="http://schemas.openxmlformats.org/spreadsheetml/2006/main" xmlns:xdr="http://schemas.openxmlformats.org/drawingml/2006/spreadsheetDrawing">
  <authors>
    <author>Unknown Author</author>
  </authors>
  <commentList>
    <comment ref="D12"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@Ayyaz Ahmed  yes good point. As soon we get free from prescriber we need to start preparing documentation for store rollout. 
</t>
        </r>
      </text>
    </comment>
    <comment ref="D15"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I have informed Shaun to escalate this internally </t>
        </r>
      </text>
    </comment>
    <comment ref="L18"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@Ayyaz Ahmed  Let me know once exceptional drug types is finalized.</t>
        </r>
      </text>
    </comment>
    <comment ref="L19"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@Ayyaz Ahmed  Let me know once exceptional drug types is finalized.</t>
        </r>
      </text>
    </comment>
    <comment ref="L20"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@Ayyaz Ahmed  From now onward, we should ensure that all non-functional factors are covered for remaining services which are planned for golive in Dec/Jan. Our Development and UATs must be aligned accordingly.</t>
        </r>
      </text>
    </comment>
  </commentList>
</comments>
</file>

<file path=xl/comments10.xml><?xml version="1.0" encoding="utf-8"?>
<comments xmlns="http://schemas.openxmlformats.org/spreadsheetml/2006/main" xmlns:xdr="http://schemas.openxmlformats.org/drawingml/2006/spreadsheetDrawing">
  <authors>
    <author>Unknown Author</author>
  </authors>
  <commentList>
    <comment ref="O3"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@Ayyaz Ahmed  Please coordinate with Saqib on this KPI tab for Aug 2023 and Sep 2023 period for getting it updated with latest facts. Once done, please update me so that I can review it.</t>
        </r>
      </text>
    </comment>
  </commentList>
</comments>
</file>

<file path=xl/comments11.xml><?xml version="1.0" encoding="utf-8"?>
<comments xmlns="http://schemas.openxmlformats.org/spreadsheetml/2006/main" xmlns:xdr="http://schemas.openxmlformats.org/drawingml/2006/spreadsheetDrawing">
  <authors>
    <author>Unknown Author</author>
  </authors>
  <commentList>
    <comment ref="G1"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Users can define context-sensitive phase values relevant for their projects.</t>
        </r>
      </text>
    </comment>
  </commentList>
</comments>
</file>

<file path=xl/sharedStrings.xml><?xml version="1.0" encoding="utf-8"?>
<sst xmlns="http://schemas.openxmlformats.org/spreadsheetml/2006/main" count="1260" uniqueCount="506">
  <si>
    <t xml:space="preserve">
RAMID
Version 1.0</t>
  </si>
  <si>
    <t xml:space="preserve">Version</t>
  </si>
  <si>
    <t xml:space="preserve">Created By</t>
  </si>
  <si>
    <t xml:space="preserve">History Details</t>
  </si>
  <si>
    <t xml:space="preserve">Date</t>
  </si>
  <si>
    <t xml:space="preserve">Reviewed By </t>
  </si>
  <si>
    <t xml:space="preserve">Approved By</t>
  </si>
  <si>
    <t xml:space="preserve">RAMID Checklist </t>
  </si>
  <si>
    <t xml:space="preserve">Department:</t>
  </si>
  <si>
    <t xml:space="preserve">Portfolio Lead:</t>
  </si>
  <si>
    <t xml:space="preserve">Checklist Question</t>
  </si>
  <si>
    <t xml:space="preserve">Mar, 2023</t>
  </si>
  <si>
    <t xml:space="preserve">Apr, 2023</t>
  </si>
  <si>
    <t xml:space="preserve">May, 2023</t>
  </si>
  <si>
    <t xml:space="preserve">Jun, 2023</t>
  </si>
  <si>
    <t xml:space="preserve">Jul, 2023</t>
  </si>
  <si>
    <t xml:space="preserve">Aug, 2023</t>
  </si>
  <si>
    <t xml:space="preserve">Sep, 2023</t>
  </si>
  <si>
    <t xml:space="preserve">Oct, 2023</t>
  </si>
  <si>
    <t xml:space="preserve">Nov, 2023</t>
  </si>
  <si>
    <t xml:space="preserve">Dec, 2023</t>
  </si>
  <si>
    <t xml:space="preserve">Jan, 2024</t>
  </si>
  <si>
    <t xml:space="preserve">Feb, 2024</t>
  </si>
  <si>
    <t xml:space="preserve">Mar, 2024</t>
  </si>
  <si>
    <t xml:space="preserve">Apr, 2024</t>
  </si>
  <si>
    <t xml:space="preserve">May, 2024</t>
  </si>
  <si>
    <t xml:space="preserve">Jun, 2024</t>
  </si>
  <si>
    <t xml:space="preserve">Jul, 2024</t>
  </si>
  <si>
    <t xml:space="preserve">Aug, 2024</t>
  </si>
  <si>
    <t xml:space="preserve">Sep, 2024</t>
  </si>
  <si>
    <t xml:space="preserve">Oct, 2024</t>
  </si>
  <si>
    <t xml:space="preserve">Nov, 2024</t>
  </si>
  <si>
    <t xml:space="preserve">Dec, 2024</t>
  </si>
  <si>
    <t xml:space="preserve">Team Churn Rate is discussed</t>
  </si>
  <si>
    <t xml:space="preserve">Yes</t>
  </si>
  <si>
    <t xml:space="preserve">Pulse Survey Feedback is discussed</t>
  </si>
  <si>
    <t xml:space="preserve">No</t>
  </si>
  <si>
    <t xml:space="preserve">Audit Violations are discussed</t>
  </si>
  <si>
    <t xml:space="preserve">KPI Score is analyzed in the meeting</t>
  </si>
  <si>
    <t xml:space="preserve">Risks</t>
  </si>
  <si>
    <t xml:space="preserve">Sr. No</t>
  </si>
  <si>
    <t xml:space="preserve">Risk Description</t>
  </si>
  <si>
    <t xml:space="preserve">Impact Description</t>
  </si>
  <si>
    <t xml:space="preserve">Mitigation Strategy</t>
  </si>
  <si>
    <t xml:space="preserve">Impact</t>
  </si>
  <si>
    <t xml:space="preserve">Probability </t>
  </si>
  <si>
    <r>
      <rPr>
        <b val="true"/>
        <sz val="11"/>
        <color rgb="FF000000"/>
        <rFont val="Calibri"/>
        <family val="0"/>
        <charset val="1"/>
      </rPr>
      <t xml:space="preserve">Severity </t>
    </r>
    <r>
      <rPr>
        <i val="true"/>
        <sz val="11"/>
        <color rgb="FF000000"/>
        <rFont val="Calibri"/>
        <family val="0"/>
        <charset val="1"/>
      </rPr>
      <t xml:space="preserve">(Calculated)</t>
    </r>
  </si>
  <si>
    <t xml:space="preserve">Owner</t>
  </si>
  <si>
    <t xml:space="preserve">Date Raised</t>
  </si>
  <si>
    <t xml:space="preserve">Date Closed</t>
  </si>
  <si>
    <t xml:space="preserve">Status</t>
  </si>
  <si>
    <t xml:space="preserve">Comments</t>
  </si>
  <si>
    <t xml:space="preserve">US team provided estimates on new contract, but due to existing thread not completed and spilovers. We are unable to allocate team to new threads. </t>
  </si>
  <si>
    <t xml:space="preserve">New threads can be impacted and can not be started on time.
There are high chances team would not be able to complete the contract on time. </t>
  </si>
  <si>
    <t xml:space="preserve">after discussion with all stakesholders, it was decided we will not inform the client that we have made the mistake in estimating and we can not deliver all modules, Instread we will start the work and in the end of contract if we are unable to complete we will take it as retrospectivly. 
We have added 4 new people to the team</t>
  </si>
  <si>
    <t xml:space="preserve">High</t>
  </si>
  <si>
    <t xml:space="preserve">Saqib</t>
  </si>
  <si>
    <t xml:space="preserve">20/9/2022</t>
  </si>
  <si>
    <t xml:space="preserve">Closed</t>
  </si>
  <si>
    <t xml:space="preserve">There is no GDC PM after moving saqib to US. also there is load on Atieq to manage 5 team in GDC. </t>
  </si>
  <si>
    <t xml:space="preserve">This can impact the team performance. </t>
  </si>
  <si>
    <t xml:space="preserve">after discussion with all stakeholders we included new Architect instread of new PMin the team. teams are divided across three architects to share the burden</t>
  </si>
  <si>
    <t xml:space="preserve">saqib</t>
  </si>
  <si>
    <t xml:space="preserve">Client expecting production release of all modules </t>
  </si>
  <si>
    <t xml:space="preserve">this is major concern from team and already communicate to all stakehodlers </t>
  </si>
  <si>
    <t xml:space="preserve">account team has assured there is no such understanding with client and it will only be dev completion end of this contract </t>
  </si>
  <si>
    <t xml:space="preserve">While analyzing drug app package for bu, it is identified that the code available in repo is different from the one which is deployed on production. hence package is being created differently. We shared the concern with Shaun (Walmart) and he directed to discuss with GTP team to reverse engineer production code to compare and see the difference so that we can implement same business logic. We have created Jira issue for GTP team on 7th October but having received any response from GTP. We have also shared the concerns and expected blocker with Shaun as well.
</t>
  </si>
  <si>
    <t xml:space="preserve">Team wouldn't be able to start development (Planned 26th October) of package creation by bu Id which will lead one business area for package creation unintended and cause overall delay in data distribution delivery timeline</t>
  </si>
  <si>
    <t xml:space="preserve">Shaun/Walmart team needs to intervene, get and share the latest code to enable development team start working on package creation</t>
  </si>
  <si>
    <t xml:space="preserve">atieq</t>
  </si>
  <si>
    <t xml:space="preserve">Data distribution Package creation</t>
  </si>
  <si>
    <t xml:space="preserve">No QA available for MDDB Search thread and testing will be pending till then and if any bug fixes or problem may be seen.
Also there are no test cases writing and automation work can be done and may have few things which are missing as per QA perspective.</t>
  </si>
  <si>
    <t xml:space="preserve">MDDB APIs and UI would not be properly tested in time and may show up issues later time and developers need to re-engage at time of testing.
Secondly as we wont have QA test cases and not synched with client there could be things which are not covered in development.</t>
  </si>
  <si>
    <t xml:space="preserve">Need QA resource ASAP</t>
  </si>
  <si>
    <t xml:space="preserve">Khurram</t>
  </si>
  <si>
    <t xml:space="preserve">MDDB Search/GPI</t>
  </si>
  <si>
    <t xml:space="preserve">No Senior UI Developer engaged yet which is slowing down the progress with fresh resource and there is no concrete timeline when this will be finished and quality may suffer.</t>
  </si>
  <si>
    <t xml:space="preserve">It can delay the timeline.</t>
  </si>
  <si>
    <t xml:space="preserve">Need Senior UI Developer</t>
  </si>
  <si>
    <t xml:space="preserve">Due to the unavailability of valid packages in the production environment, the team is unable to start development for the drug-add-by-item-ids endpoint</t>
  </si>
  <si>
    <t xml:space="preserve">Team is blocked on package development for this endpoint and waiting for Shaun's reply to proceed with</t>
  </si>
  <si>
    <t xml:space="preserve">Shaun to share sample packages to do analysis and resume development</t>
  </si>
  <si>
    <t xml:space="preserve">In MDDB Search, the addition of new workflows related to add new products/items can impact the timeline</t>
  </si>
  <si>
    <t xml:space="preserve">Teams needs to work on discovery for these new workflows and connect with client on any queries before starting implementation</t>
  </si>
  <si>
    <t xml:space="preserve">We have communicated the impact this can cause on our timeline with the client</t>
  </si>
  <si>
    <t xml:space="preserve">SOW Renewal and VDI expiry </t>
  </si>
  <si>
    <t xml:space="preserve">VDI will close on end of Feb</t>
  </si>
  <si>
    <t xml:space="preserve">SOW discussion are going on and we are keeping and eye on date and adam will help to get it renewed and process int he system on priority. </t>
  </si>
  <si>
    <t xml:space="preserve">Medium</t>
  </si>
  <si>
    <t xml:space="preserve">15/12/2022</t>
  </si>
  <si>
    <t xml:space="preserve">SOW </t>
  </si>
  <si>
    <t xml:space="preserve">Production Deployment as per the plan seems too tight to achieve in given timelines</t>
  </si>
  <si>
    <t xml:space="preserve">We may have to work beyond billable MO4 timelines</t>
  </si>
  <si>
    <t xml:space="preserve">Team is discussing how to start deployment activities in advance and how to achieve more parallelism
Action: We need to make plan for Store side installations</t>
  </si>
  <si>
    <t xml:space="preserve">15/05/2023</t>
  </si>
  <si>
    <t xml:space="preserve">Action: 
We need to make plan for Store side installations</t>
  </si>
  <si>
    <t xml:space="preserve">Team members will not be able to access the vdi and cannot continue work</t>
  </si>
  <si>
    <t xml:space="preserve">Team will upload their documents to one drive.</t>
  </si>
  <si>
    <t xml:space="preserve">Very High</t>
  </si>
  <si>
    <t xml:space="preserve">23/05/2023</t>
  </si>
  <si>
    <t xml:space="preserve">SOW - 
13/06: VDI extended</t>
  </si>
  <si>
    <t xml:space="preserve">Sadia resigned. So loss of a senior developer can have its immediate negative impact on the productivity/loss of knowledge experience.</t>
  </si>
  <si>
    <t xml:space="preserve">Reduced Dev Capacity/Loss of Experience
</t>
  </si>
  <si>
    <t xml:space="preserve">Mustafa A/Talha are taking KT sessions for Prescriber</t>
  </si>
  <si>
    <t xml:space="preserve">Ayyaz</t>
  </si>
  <si>
    <t xml:space="preserve">23-05-23</t>
  </si>
  <si>
    <t xml:space="preserve">KT document prepared by Sadia for Talha
 we have recurited Senior QA </t>
  </si>
  <si>
    <t xml:space="preserve">Mockups Pending for Medguides, Drug History NDC linking, Online Item File, GPI </t>
  </si>
  <si>
    <t xml:space="preserve">Scope, Timeline​</t>
  </si>
  <si>
    <t xml:space="preserve">Share the list of required mockups and Rachael has shared the priority as well.​</t>
  </si>
  <si>
    <t xml:space="preserve">we are actively chasing Walmart PO to resolve this</t>
  </si>
  <si>
    <t xml:space="preserve">Cost and reorder new Mockups based on wireframes </t>
  </si>
  <si>
    <t xml:space="preserve">Cost and reorder Mockups have been assigned high priority. </t>
  </si>
  <si>
    <t xml:space="preserve">Clarus One - (Cost &amp; Reorder) - PRD, Mockup and API Integration Pending from client side. 
Late APIs and clarfication on certain issues from thirdpary caused this to be delayed. We are on Track to finish the work as per the requirements on 12 Jan However late UAT completion can cause a Risk if any thing identified during the UAT.</t>
  </si>
  <si>
    <t xml:space="preserve">Timeline</t>
  </si>
  <si>
    <t xml:space="preserve">1) Starting with what ever we got from PRD/Mockup/API instead of wating for all of it and start in one go.
2) Esclating this situation with client to get ClarusOne API integration on priority</t>
  </si>
  <si>
    <t xml:space="preserve">31/08/2023</t>
  </si>
  <si>
    <r>
      <rPr>
        <sz val="11"/>
        <color rgb="FF000000"/>
        <rFont val="Calibri"/>
        <family val="0"/>
        <charset val="1"/>
      </rPr>
      <t xml:space="preserve">we had a meeting for ClarusOne API on 22 Sept.
</t>
    </r>
    <r>
      <rPr>
        <b val="true"/>
        <sz val="11"/>
        <color rgb="FF000000"/>
        <rFont val="Calibri"/>
        <family val="0"/>
        <charset val="1"/>
      </rPr>
      <t xml:space="preserve">22 Oct:</t>
    </r>
    <r>
      <rPr>
        <sz val="11"/>
        <color rgb="FF000000"/>
        <rFont val="Calibri"/>
        <family val="0"/>
        <charset val="1"/>
      </rPr>
      <t xml:space="preserve"> The ClarusOne Manager was not fully prepared to answer the questions and was not able to provide the API access to us. 
we have raised this as High Risk to WM.
</t>
    </r>
    <r>
      <rPr>
        <b val="true"/>
        <sz val="11"/>
        <color rgb="FF000000"/>
        <rFont val="Calibri"/>
        <family val="0"/>
        <charset val="1"/>
      </rPr>
      <t xml:space="preserve">04 Oct:</t>
    </r>
    <r>
      <rPr>
        <sz val="11"/>
        <color rgb="FF000000"/>
        <rFont val="Calibri"/>
        <family val="0"/>
        <charset val="1"/>
      </rPr>
      <t xml:space="preserve"> Richard (ClarusOne) will come back to us today on this.
Business impact ?
</t>
    </r>
    <r>
      <rPr>
        <b val="true"/>
        <sz val="11"/>
        <color rgb="FF000000"/>
        <rFont val="Calibri"/>
        <family val="0"/>
        <charset val="1"/>
      </rPr>
      <t xml:space="preserve">
01 Dec:
</t>
    </r>
    <r>
      <rPr>
        <sz val="11"/>
        <color rgb="FF000000"/>
        <rFont val="Calibri"/>
        <family val="0"/>
        <charset val="1"/>
      </rPr>
      <t xml:space="preserve">Access is available. we have found some data discrepancies. Atieq has already shared the it with walmart and clarus one team. waiting for their reply 
</t>
    </r>
    <r>
      <rPr>
        <b val="true"/>
        <sz val="11"/>
        <color rgb="FF000000"/>
        <rFont val="Calibri"/>
        <family val="0"/>
        <charset val="1"/>
      </rPr>
      <t xml:space="preserve">13-15 Dec:
</t>
    </r>
    <r>
      <rPr>
        <sz val="11"/>
        <color rgb="FF000000"/>
        <rFont val="Calibri"/>
        <family val="0"/>
        <charset val="1"/>
      </rPr>
      <t xml:space="preserve">we have had multiple meetings on data flow issues and have esclated this to Richard in a recent email. waiting for the reply.
Its a job which generates clarusOne report. We are not geting any data to create report.
</t>
    </r>
    <r>
      <rPr>
        <b val="true"/>
        <sz val="11"/>
        <color rgb="FF000000"/>
        <rFont val="Calibri"/>
        <family val="0"/>
        <charset val="1"/>
      </rPr>
      <t xml:space="preserve">02 Jan: 
</t>
    </r>
    <r>
      <rPr>
        <sz val="11"/>
        <color rgb="FF000000"/>
        <rFont val="Calibri"/>
        <family val="0"/>
        <charset val="1"/>
      </rPr>
      <t xml:space="preserve">We are on track to complete dev for this on 12 Jan.
UAT completetion and anything comming out of UAT could cause Risk </t>
    </r>
  </si>
  <si>
    <t xml:space="preserve">OIF - 02 October UAT Start
There are few questions with pending answers that we need to continue
"Why we compare Vendor Stock Number with NDC?
Why we are not getting NDC From IQS.
Sindhoor/Nathan suggested to go back to IQS on this"</t>
  </si>
  <si>
    <t xml:space="preserve">1) We are actively esclating the issue to WM to get us the directions on the pending items
2) We are scheduling the meeting with the relevant stakeholders + IQS to get closure on this ASAP.
we need to align both Fahid Sb and Saqib</t>
  </si>
  <si>
    <r>
      <rPr>
        <b val="true"/>
        <sz val="11"/>
        <color rgb="FF000000"/>
        <rFont val="Calibri"/>
        <family val="0"/>
        <charset val="1"/>
      </rPr>
      <t xml:space="preserve">22 Sept: </t>
    </r>
    <r>
      <rPr>
        <sz val="11"/>
        <color rgb="FF000000"/>
        <rFont val="Calibri"/>
        <family val="0"/>
        <charset val="1"/>
      </rPr>
      <t xml:space="preserve">Only PRD and mockup update pending</t>
    </r>
  </si>
  <si>
    <t xml:space="preserve">GPI - 21 Sept UAT Start
There are few questions with pending answers that we need to continue
There are 14 exception types in production database 
that are not visible in Legacy UI, Business want's to see them in Carbon 
Need exception values information
against some of the exception types</t>
  </si>
  <si>
    <t xml:space="preserve">1) We are actively esclating the issue to WM to get us the directions on the pending items
2) We are meeting with the wider audience/stakeholders + Tina to get closure on this ASAP.</t>
  </si>
  <si>
    <r>
      <rPr>
        <b val="true"/>
        <sz val="11"/>
        <color rgb="FF000000"/>
        <rFont val="Calibri"/>
        <family val="0"/>
        <charset val="1"/>
      </rPr>
      <t xml:space="preserve">22 Sept: </t>
    </r>
    <r>
      <rPr>
        <sz val="11"/>
        <color rgb="FF000000"/>
        <rFont val="Calibri"/>
        <family val="0"/>
        <charset val="1"/>
      </rPr>
      <t xml:space="preserve">We got our answers from client</t>
    </r>
  </si>
  <si>
    <t xml:space="preserve">Kafka Messages for Data Distribution - 02 Oct Prod Roll Out
Kafka Team is still maintaining the same stance that we will have to design a solution with multiple topics/or use Message Proxy Service.
This means we have change our implementation which can have implications on Timelines and we will need another sign off on UAT.</t>
  </si>
  <si>
    <t xml:space="preserve">We escalated this issue with Shaun and got approval to do POC for 5K users on Secure Dedicated Cluster (same approach as CPC team is using) and we can use JMeter on local machines to do the testing</t>
  </si>
  <si>
    <r>
      <rPr>
        <b val="true"/>
        <sz val="11"/>
        <color rgb="FF000000"/>
        <rFont val="Calibri"/>
        <family val="0"/>
        <charset val="1"/>
      </rPr>
      <t xml:space="preserve">22 Sept: We have completed and shared POC
</t>
    </r>
    <r>
      <rPr>
        <sz val="11"/>
        <color rgb="FF000000"/>
        <rFont val="Calibri"/>
        <family val="0"/>
        <charset val="1"/>
      </rPr>
      <t xml:space="preserve">
We should have put this assumption that 1 topic will serve 5000 consumers in UAT Signoff</t>
    </r>
  </si>
  <si>
    <t xml:space="preserve">Connexus application not working on Test Stores.</t>
  </si>
  <si>
    <t xml:space="preserve">we have raised support ticket for WM.
we have got a response that we will get a new Test Store Box</t>
  </si>
  <si>
    <t xml:space="preserve">25/09/2023</t>
  </si>
  <si>
    <r>
      <rPr>
        <b val="true"/>
        <sz val="11"/>
        <color rgb="FF000000"/>
        <rFont val="Calibri"/>
        <family val="0"/>
        <charset val="1"/>
      </rPr>
      <t xml:space="preserve">04 Oct: </t>
    </r>
    <r>
      <rPr>
        <sz val="11"/>
        <color rgb="FF000000"/>
        <rFont val="Calibri"/>
        <family val="0"/>
        <charset val="1"/>
      </rPr>
      <t xml:space="preserve">Support has recently acknowledged that their is a problem with test boxes and they will provide us a new Test Store with working Connexus -
ETA with in a week ?</t>
    </r>
  </si>
  <si>
    <r>
      <rPr>
        <sz val="11"/>
        <color rgb="FF000000"/>
        <rFont val="Calibri"/>
        <family val="0"/>
        <charset val="1"/>
      </rPr>
      <t xml:space="preserve">Requirement Changes listed in </t>
    </r>
    <r>
      <rPr>
        <b val="true"/>
        <sz val="11"/>
        <color rgb="FF000000"/>
        <rFont val="Calibri"/>
        <family val="0"/>
        <charset val="1"/>
      </rPr>
      <t xml:space="preserve">Issues Tab Row#</t>
    </r>
    <r>
      <rPr>
        <sz val="11"/>
        <color rgb="FF000000"/>
        <rFont val="Calibri"/>
        <family val="0"/>
        <charset val="1"/>
      </rPr>
      <t xml:space="preserve"> </t>
    </r>
    <r>
      <rPr>
        <b val="true"/>
        <sz val="11"/>
        <color rgb="FF000000"/>
        <rFont val="Calibri"/>
        <family val="0"/>
        <charset val="1"/>
      </rPr>
      <t xml:space="preserve">11-19</t>
    </r>
  </si>
  <si>
    <t xml:space="preserve">New Production Timelines to be agreed post requirement analysis and estimations</t>
  </si>
  <si>
    <t xml:space="preserve">Ayyaz/Saqib</t>
  </si>
  <si>
    <r>
      <rPr>
        <sz val="11"/>
        <color rgb="FF000000"/>
        <rFont val="Calibri"/>
        <family val="0"/>
        <charset val="1"/>
      </rPr>
      <t xml:space="preserve">New Requirements and issues discovered by WM Team and are now assigned to RDM MO team for implementation
However for most of the items WM still need us to provide clear requirements/Mockups/UX etc
</t>
    </r>
    <r>
      <rPr>
        <b val="true"/>
        <sz val="11"/>
        <color rgb="FF000000"/>
        <rFont val="Calibri"/>
        <family val="0"/>
        <charset val="1"/>
      </rPr>
      <t xml:space="preserve">01 Dec:
</t>
    </r>
    <r>
      <rPr>
        <sz val="11"/>
        <color rgb="FF000000"/>
        <rFont val="Calibri"/>
        <family val="0"/>
        <charset val="1"/>
      </rPr>
      <t xml:space="preserve">Work is in Progress for the change requests
new Production Date is 15 Jan</t>
    </r>
  </si>
  <si>
    <t xml:space="preserve">Carbon UI deployment is failing on Staging so our current carbon UI CRQ is on pause. This is due to recent ask from WM to include Carbon UI into SOX.
This could cause delay in SoftLaunch plan</t>
  </si>
  <si>
    <t xml:space="preserve">This could cause delay in SoftLaunch plan</t>
  </si>
  <si>
    <t xml:space="preserve">Hassan Amjad engaged colin yesterday night on this.
Hassan Amjad and Ramzan are investigating the issue.</t>
  </si>
  <si>
    <t xml:space="preserve">Hassan Amjad</t>
  </si>
  <si>
    <t xml:space="preserve">Last minute of UI CRQ we were told to move UI to SOX.
Colin has categorically said that due to late minute inclusion of SOX he won't allow prod deployment without presence of wcnp support person in the zoom call during deployment.</t>
  </si>
  <si>
    <t xml:space="preserve">Most probably a new CRQ will be needed for sox migration of carbon UI.
If WCNP resource is not engaged on time it can delay the CRQ deployment</t>
  </si>
  <si>
    <t xml:space="preserve">we need to engage WCNP folks as we have a valid CRQ and do the deployment. We already Have list of steps needed for this deployment. one of backend resources who has been doing wcnp deployment should be available along the go. </t>
  </si>
  <si>
    <t xml:space="preserve">Low</t>
  </si>
  <si>
    <t xml:space="preserve">For Production Release we need to disable legacy application menus/services
We need to understand the BE package distribution code in Legacy Application w.r.t to disabling the sending of Package to store side.
Changes to legacy application can result into unseen issues.
Especially from deployment perspective we need more information from Client</t>
  </si>
  <si>
    <t xml:space="preserve">Any unseen issues esp during deployment can delay the final release in first week of Feb 2024</t>
  </si>
  <si>
    <t xml:space="preserve">We will have to do a proper analysis of the change its impact also how to do deployment.</t>
  </si>
  <si>
    <t xml:space="preserve">Owner 1</t>
  </si>
  <si>
    <t xml:space="preserve">FE application will be shut off by the client team and BE services will be shut down by our team</t>
  </si>
  <si>
    <t xml:space="preserve">Ops team who is responsible to restart/updates the inactive stores has not responded back to our request for an on boarding session of the new system. This session is crucial for them to smoothly execute their current responsibilities</t>
  </si>
  <si>
    <t xml:space="preserve">Failure to timely restart the stores and keep them inactive may result in missing critical updates generated by the system.</t>
  </si>
  <si>
    <t xml:space="preserve">To address this potential risk, Our team is proactively working on developing a script to restart the inactive stores independently</t>
  </si>
  <si>
    <t xml:space="preserve">Owner 2</t>
  </si>
  <si>
    <t xml:space="preserve">Our Team will be taking care of this activity as Ops team refused to do this. </t>
  </si>
  <si>
    <t xml:space="preserve">During the Soft Launch feedback  business team have shared few feedback items and fixing them might need some time, so production roll out timelines can be impacted</t>
  </si>
  <si>
    <t xml:space="preserve">The potential delay in addressing feedback from the Soft Launch may result in a postponement of the production roll-out schedule</t>
  </si>
  <si>
    <t xml:space="preserve">PMs are in touch with business and getting alignment on the highlighted issues whether we can proceed to roll out with some temporary fix</t>
  </si>
  <si>
    <t xml:space="preserve">Open</t>
  </si>
  <si>
    <t xml:space="preserve">So far, we are good, we have already roll out few items in the last week and planning to do one/two more release in this and next week</t>
  </si>
  <si>
    <t xml:space="preserve">Action Items</t>
  </si>
  <si>
    <t xml:space="preserve">Description</t>
  </si>
  <si>
    <t xml:space="preserve">Due Date</t>
  </si>
  <si>
    <t xml:space="preserve">Date Completed</t>
  </si>
  <si>
    <t xml:space="preserve">Prepare New Data distribution package estimates</t>
  </si>
  <si>
    <t xml:space="preserve">Lead</t>
  </si>
  <si>
    <t xml:space="preserve">Data Distribution </t>
  </si>
  <si>
    <t xml:space="preserve">Prepare estimates for remaining work on HMS</t>
  </si>
  <si>
    <t xml:space="preserve">HMS - (4 + 2 days)</t>
  </si>
  <si>
    <t xml:space="preserve">Estimates required to upgrade Carbon UI to Living Design</t>
  </si>
  <si>
    <t xml:space="preserve">QA Lead</t>
  </si>
  <si>
    <t xml:space="preserve">Cost Reorder (3 days)</t>
  </si>
  <si>
    <t xml:space="preserve">saqib to update project plan as discused on SOS</t>
  </si>
  <si>
    <t xml:space="preserve">PM 1</t>
  </si>
  <si>
    <t xml:space="preserve">Estimates required to fix OutOfMemory Issue in MDDB Load Batch Job</t>
  </si>
  <si>
    <t xml:space="preserve">MDDB Load Batch Job - optimization dev work planned to be finalized by 26th Oct</t>
  </si>
  <si>
    <t xml:space="preserve">Progress Last Week ​
Dev : Advance search queries discovery 50%​
Dev : Work Order API 90%​
Dev : Work Order Scheduling for pill images 30% ​
QA : Pill Image test case writing 60%​
Next week - In Progress​
Dev : Basic/advance search queries discovery ​
Dev : Work Order ​
QA : Pill Images test case writing </t>
  </si>
  <si>
    <t xml:space="preserve">Progress Last Week ​
Dev : Save new item with new product 70%​
UI : Add/Edit Product 70%​
Next week - In Progress​
Dev : Save new item with new product 100%​
UI : Add/Edit product 100%​
QA : Test case execution add/edit ​
Key Notes</t>
  </si>
  <si>
    <t xml:space="preserve">Progress Last Week ​
Dev : Work Order Scheduling 30% ​
UI : Mass Item Update 50%​
UI : Group Item Update 30%​
Next week - In Progress​
Demo : Complete flow Search/Add/Edit​
Dev : Work Order Scheduling 50%​
UI : Mass Item Update 70%​
UI : Group Item Update 50%</t>
  </si>
  <si>
    <t xml:space="preserve">Project Handover Documentation Closure</t>
  </si>
  <si>
    <t xml:space="preserve">PM 2</t>
  </si>
  <si>
    <t xml:space="preserve">Document was created earlier. just need to sign off on items</t>
  </si>
  <si>
    <t xml:space="preserve">Ayyaz travel plan</t>
  </si>
  <si>
    <t xml:space="preserve">Need to Schedule the meeting with Fahid Sb with in this week.</t>
  </si>
  <si>
    <t xml:space="preserve">High Low Performance List</t>
  </si>
  <si>
    <t xml:space="preserve">Amir's involvement as architect</t>
  </si>
  <si>
    <t xml:space="preserve">Need to Schedule the meeting
Regular catch up with Amir
Document specify things.</t>
  </si>
  <si>
    <t xml:space="preserve">Low performers fortnightly followup meeting</t>
  </si>
  <si>
    <t xml:space="preserve">Meetings Scheduled with Hassan Amjad and Hassan Ahmed
Hassan Ahmed Minhas should start coming to office</t>
  </si>
  <si>
    <t xml:space="preserve">Assign mentors to high performers</t>
  </si>
  <si>
    <t xml:space="preserve">04 Oct: We will initiate a discussion on this with PEC Focused group</t>
  </si>
  <si>
    <t xml:space="preserve">New Line Management Structure</t>
  </si>
  <si>
    <t xml:space="preserve">TLs have been assinged LM roles.</t>
  </si>
  <si>
    <t xml:space="preserve">New Team Structure Post Production</t>
  </si>
  <si>
    <t xml:space="preserve">Support team for whole carbon drug - Kanabn 
Development team for Post MVP - New Feature </t>
  </si>
  <si>
    <t xml:space="preserve">Support cycle </t>
  </si>
  <si>
    <t xml:space="preserve">A common confluce page has been setup with the information</t>
  </si>
  <si>
    <t xml:space="preserve">SLA </t>
  </si>
  <si>
    <t xml:space="preserve">RCA pages </t>
  </si>
  <si>
    <t xml:space="preserve">Hypercare plan </t>
  </si>
  <si>
    <t xml:space="preserve">Slack Channel support 
team timing work hours 
on call support - </t>
  </si>
  <si>
    <t xml:space="preserve">Need Support from Fahid Sb on Support Team ways of working
1) How to provide hardship allowance
2) KPI for support (Number of issues/Cycle time/Type of issue)
3) Extended Timings of members on support
4) Any existing model ?</t>
  </si>
  <si>
    <t xml:space="preserve">PM to setup call with Fahid and PM for hardship allowance</t>
  </si>
  <si>
    <t xml:space="preserve">Goals Creation of teams</t>
  </si>
  <si>
    <t xml:space="preserve">Leads</t>
  </si>
  <si>
    <t xml:space="preserve">Need clarity from the customer about the SoW approval for the new thread/work </t>
  </si>
  <si>
    <t xml:space="preserve">Confirmation of the support plan completion timelines with PM</t>
  </si>
  <si>
    <t xml:space="preserve">March/APril end continuation</t>
  </si>
  <si>
    <t xml:space="preserve">Team leaves carry forward for year 2023. Discussion and approval was already received from the management</t>
  </si>
  <si>
    <t xml:space="preserve">Leaves of 2023 are not incorporated in leaves quota for 2024 for the team</t>
  </si>
  <si>
    <t xml:space="preserve">Few members of development team are engaged to explore the remaining modules of legacy system - Insurance, central fill, immunization, store</t>
  </si>
  <si>
    <t xml:space="preserve">Lead 1</t>
  </si>
  <si>
    <t xml:space="preserve">Get clarity about the Soft launch starting plan</t>
  </si>
  <si>
    <t xml:space="preserve">Lead 2</t>
  </si>
  <si>
    <t xml:space="preserve">Started on 5th Feb</t>
  </si>
  <si>
    <t xml:space="preserve">Update line management of leads to PM</t>
  </si>
  <si>
    <t xml:space="preserve">PM </t>
  </si>
  <si>
    <t xml:space="preserve">Amir goals setup and line management updates are still pending. Nauman shared this with Hussain </t>
  </si>
  <si>
    <t xml:space="preserve">Assumptions</t>
  </si>
  <si>
    <t xml:space="preserve">Source</t>
  </si>
  <si>
    <t xml:space="preserve">Criticality</t>
  </si>
  <si>
    <t xml:space="preserve">Next Steps</t>
  </si>
  <si>
    <t xml:space="preserve">Validation Due</t>
  </si>
  <si>
    <t xml:space="preserve">Date Validated</t>
  </si>
  <si>
    <t xml:space="preserve">Validated</t>
  </si>
  <si>
    <t xml:space="preserve">Soft launch will start from 1st of February and will be completed by 7th of Feb</t>
  </si>
  <si>
    <t xml:space="preserve">Team discussion and plan for production go live </t>
  </si>
  <si>
    <t xml:space="preserve">Get clarity from the business about the exact date
Establish a communication plan for gathering feedback from users during the soft launch.
Schedule a post-soft launch review meeting to discuss feedback and identify any necessary adjustments.
</t>
  </si>
  <si>
    <t xml:space="preserve">Business users on-boarding on 8 and 9th Feb</t>
  </si>
  <si>
    <t xml:space="preserve">Collect feedback from business users regarding their onboarding experience.
Conduct a review meeting to address any issues identified during onboarding and refine processes if necessary.</t>
  </si>
  <si>
    <t xml:space="preserve">Shut down the legacy system and jobs over the weekend</t>
  </si>
  <si>
    <t xml:space="preserve">Develop a detailed plan for the shutdown, ensuring all critical data is migrated or backed up.
Communicate the shutdown plan to all relevant stakeholders, including users and support teams.
Prepare contingency plans for any unforeseen issues during the shutdown.</t>
  </si>
  <si>
    <t xml:space="preserve">Supporting activities will start from 12th of February</t>
  </si>
  <si>
    <t xml:space="preserve">Establish communication channels for users to report issues and seek assistance.
Schedule regular check-ins with support teams to address any emerging challenges.</t>
  </si>
  <si>
    <t xml:space="preserve">Supporting activities will be completing in the first week of March and Support team members will be available for the development work on the new thread</t>
  </si>
  <si>
    <t xml:space="preserve">Conduct a thorough review of all supporting activities to ensure completion.
Document lessons learned and areas for improvement in support processes.
Communicate the completion of supporting activities to relevant stakeholders.</t>
  </si>
  <si>
    <t xml:space="preserve">27-Feb:  PM mentioend that Support will be part of new SoW as well so it will be continue for till March/April end </t>
  </si>
  <si>
    <t xml:space="preserve">Development team is doing RnD on the new module Central Fill with the assumption that SoW will be approved in the month of March. Need clarity about the new SoW </t>
  </si>
  <si>
    <t xml:space="preserve">Saqib mention this couple of times during discussion</t>
  </si>
  <si>
    <t xml:space="preserve">Development team to conclude the PRD review for the available informnation and document the details  on confluence</t>
  </si>
  <si>
    <t xml:space="preserve">Milestones</t>
  </si>
  <si>
    <t xml:space="preserve">Environment</t>
  </si>
  <si>
    <t xml:space="preserve">Phase</t>
  </si>
  <si>
    <t xml:space="preserve">At Risk?</t>
  </si>
  <si>
    <t xml:space="preserve">Achieved Date</t>
  </si>
  <si>
    <t xml:space="preserve">UAT of Prescriber - session 1 </t>
  </si>
  <si>
    <t xml:space="preserve">Staging</t>
  </si>
  <si>
    <t xml:space="preserve">&lt;Phase 1&gt;</t>
  </si>
  <si>
    <t xml:space="preserve">23/1/2022</t>
  </si>
  <si>
    <t xml:space="preserve">Achieved</t>
  </si>
  <si>
    <t xml:space="preserve">UAT of Prescriber - session 2</t>
  </si>
  <si>
    <t xml:space="preserve">Cost and Reorder UAT - session 1</t>
  </si>
  <si>
    <t xml:space="preserve">Data Distribution</t>
  </si>
  <si>
    <t xml:space="preserve">Prescriber </t>
  </si>
  <si>
    <t xml:space="preserve">Production</t>
  </si>
  <si>
    <t xml:space="preserve">&lt;Phase 2&gt;</t>
  </si>
  <si>
    <t xml:space="preserve">V&amp;V in progress - new bugs identified</t>
  </si>
  <si>
    <t xml:space="preserve">  Data Distribution packages ​
(Pill Image, GPI State  Exception,  BU license, Urgent Message)</t>
  </si>
  <si>
    <r>
      <rPr>
        <sz val="11"/>
        <color rgb="FF000000"/>
        <rFont val="Calibri"/>
        <family val="0"/>
        <charset val="1"/>
      </rPr>
      <t xml:space="preserve">QE Sign off done
</t>
    </r>
    <r>
      <rPr>
        <b val="true"/>
        <sz val="11"/>
        <color rgb="FF000000"/>
        <rFont val="Calibri"/>
        <family val="0"/>
        <charset val="1"/>
      </rPr>
      <t xml:space="preserve">25 Oct- 08 Nov: </t>
    </r>
    <r>
      <rPr>
        <sz val="11"/>
        <color rgb="FF000000"/>
        <rFont val="Calibri"/>
        <family val="0"/>
        <charset val="1"/>
      </rPr>
      <t xml:space="preserve">Pilot Stores (1-9) Deployment In Progress</t>
    </r>
  </si>
  <si>
    <t xml:space="preserve">Medguide (Tools)</t>
  </si>
  <si>
    <t xml:space="preserve">Development</t>
  </si>
  <si>
    <r>
      <rPr>
        <sz val="11"/>
        <color rgb="FF000000"/>
        <rFont val="Calibri"/>
        <family val="0"/>
        <charset val="1"/>
      </rPr>
      <t xml:space="preserve">UAT Sign Off
</t>
    </r>
    <r>
      <rPr>
        <b val="true"/>
        <sz val="11"/>
        <color rgb="FF000000"/>
        <rFont val="Calibri"/>
        <family val="0"/>
        <charset val="1"/>
      </rPr>
      <t xml:space="preserve">08 - Nov </t>
    </r>
    <r>
      <rPr>
        <sz val="11"/>
        <color rgb="FF000000"/>
        <rFont val="Calibri"/>
        <family val="0"/>
        <charset val="1"/>
      </rPr>
      <t xml:space="preserve">Production Deployment In progress</t>
    </r>
  </si>
  <si>
    <t xml:space="preserve">NDC (Tools)</t>
  </si>
  <si>
    <t xml:space="preserve">UAT Planned</t>
  </si>
  <si>
    <t xml:space="preserve">Drug History (Tools)</t>
  </si>
  <si>
    <t xml:space="preserve">Cost and Reorder with New Req</t>
  </si>
  <si>
    <t xml:space="preserve">Planned</t>
  </si>
  <si>
    <r>
      <rPr>
        <b val="true"/>
        <sz val="11"/>
        <color rgb="FF000000"/>
        <rFont val="Calibri"/>
        <family val="0"/>
        <charset val="1"/>
      </rPr>
      <t xml:space="preserve">19 Oct:</t>
    </r>
    <r>
      <rPr>
        <sz val="11"/>
        <color rgb="FF000000"/>
        <rFont val="Calibri"/>
        <family val="0"/>
        <charset val="1"/>
      </rPr>
      <t xml:space="preserve">UAT Planned
</t>
    </r>
    <r>
      <rPr>
        <b val="true"/>
        <sz val="11"/>
        <color rgb="FF000000"/>
        <rFont val="Calibri"/>
        <family val="0"/>
        <charset val="1"/>
      </rPr>
      <t xml:space="preserve">16 Nov:</t>
    </r>
    <r>
      <rPr>
        <sz val="11"/>
        <color rgb="FF000000"/>
        <rFont val="Calibri"/>
        <family val="0"/>
        <charset val="1"/>
      </rPr>
      <t xml:space="preserve"> UAT completed but bug fixes/new req in progress</t>
    </r>
  </si>
  <si>
    <t xml:space="preserve">Item/Product/MDDB</t>
  </si>
  <si>
    <r>
      <rPr>
        <sz val="11"/>
        <color rgb="FF000000"/>
        <rFont val="Calibri"/>
        <family val="0"/>
        <charset val="1"/>
      </rPr>
      <t xml:space="preserve">Few minor bugs in fix.. will merge Node 18 changes on Sat 25
</t>
    </r>
    <r>
      <rPr>
        <b val="true"/>
        <sz val="11"/>
        <color rgb="FF000000"/>
        <rFont val="Calibri"/>
        <family val="0"/>
        <charset val="1"/>
      </rPr>
      <t xml:space="preserve">04 Oct:</t>
    </r>
    <r>
      <rPr>
        <sz val="11"/>
        <color rgb="FF000000"/>
        <rFont val="Calibri"/>
        <family val="0"/>
        <charset val="1"/>
      </rPr>
      <t xml:space="preserve"> On track to get sign off on 06 Oct
</t>
    </r>
    <r>
      <rPr>
        <b val="true"/>
        <sz val="11"/>
        <color rgb="FF000000"/>
        <rFont val="Calibri"/>
        <family val="0"/>
        <charset val="1"/>
      </rPr>
      <t xml:space="preserve">03 Nov:</t>
    </r>
    <r>
      <rPr>
        <sz val="11"/>
        <color rgb="FF000000"/>
        <rFont val="Calibri"/>
        <family val="0"/>
        <charset val="1"/>
      </rPr>
      <t xml:space="preserve"> UAT and Fixes InProgress</t>
    </r>
  </si>
  <si>
    <r>
      <rPr>
        <b val="true"/>
        <sz val="11"/>
        <color rgb="FF000000"/>
        <rFont val="Calibri"/>
        <family val="0"/>
        <charset val="1"/>
      </rPr>
      <t xml:space="preserve">08 Nov: </t>
    </r>
    <r>
      <rPr>
        <sz val="11"/>
        <color rgb="FF000000"/>
        <rFont val="Calibri"/>
        <family val="0"/>
        <charset val="1"/>
      </rPr>
      <t xml:space="preserve">Production Deployment InProgress but was reverted due to Node 18 was not supported
</t>
    </r>
    <r>
      <rPr>
        <b val="true"/>
        <sz val="11"/>
        <color rgb="FF000000"/>
        <rFont val="Calibri"/>
        <family val="0"/>
        <charset val="1"/>
      </rPr>
      <t xml:space="preserve">17 Nov:</t>
    </r>
    <r>
      <rPr>
        <sz val="11"/>
        <color rgb="FF000000"/>
        <rFont val="Calibri"/>
        <family val="0"/>
        <charset val="1"/>
      </rPr>
      <t xml:space="preserve"> UAT Signoff Pending - 28 Nov Carbon UI Nov</t>
    </r>
  </si>
  <si>
    <t xml:space="preserve">GPI</t>
  </si>
  <si>
    <t xml:space="preserve">Time line extended due to QA Cycle delay</t>
  </si>
  <si>
    <r>
      <rPr>
        <b val="true"/>
        <sz val="11"/>
        <color rgb="FF000000"/>
        <rFont val="Calibri"/>
        <family val="0"/>
        <charset val="1"/>
      </rPr>
      <t xml:space="preserve">31 Oct: </t>
    </r>
    <r>
      <rPr>
        <sz val="11"/>
        <color rgb="FF000000"/>
        <rFont val="Calibri"/>
        <family val="0"/>
        <charset val="1"/>
      </rPr>
      <t xml:space="preserve">UAT Completed</t>
    </r>
  </si>
  <si>
    <t xml:space="preserve">OIF</t>
  </si>
  <si>
    <r>
      <rPr>
        <b val="true"/>
        <sz val="11"/>
        <color rgb="FF000000"/>
        <rFont val="Calibri"/>
        <family val="0"/>
        <charset val="1"/>
      </rPr>
      <t xml:space="preserve">14 Dec</t>
    </r>
    <r>
      <rPr>
        <sz val="11"/>
        <color rgb="FF000000"/>
        <rFont val="Calibri"/>
        <family val="0"/>
        <charset val="1"/>
      </rPr>
      <t xml:space="preserve">: UAT Done</t>
    </r>
  </si>
  <si>
    <t xml:space="preserve">Data Distribution​
(BU License Package)</t>
  </si>
  <si>
    <r>
      <rPr>
        <sz val="11"/>
        <color rgb="FF000000"/>
        <rFont val="Calibri"/>
        <family val="0"/>
        <charset val="1"/>
      </rPr>
      <t xml:space="preserve"> July 21st Signoff handover – UAT InProgress - ETA – 4 weeks
</t>
    </r>
    <r>
      <rPr>
        <b val="true"/>
        <sz val="11"/>
        <color rgb="FF000000"/>
        <rFont val="Calibri"/>
        <family val="0"/>
        <charset val="1"/>
      </rPr>
      <t xml:space="preserve">04 Oct: </t>
    </r>
    <r>
      <rPr>
        <sz val="11"/>
        <color rgb="FF000000"/>
        <rFont val="Calibri"/>
        <family val="0"/>
        <charset val="1"/>
      </rPr>
      <t xml:space="preserve">for GPI Changes we will get sign off on 06 Oct
</t>
    </r>
  </si>
  <si>
    <t xml:space="preserve">Pill Image</t>
  </si>
  <si>
    <t xml:space="preserve">UAT Achieved</t>
  </si>
  <si>
    <t xml:space="preserve">ClarusOne (part of C&amp;R)</t>
  </si>
  <si>
    <t xml:space="preserve">API integration still pending on ClarusOne third party 
16 Nov: It was at Risk but now it is being planned and new date is not yet determined. Hence it is not at Risk against any date as of yet.
13 Dec: This is back AT Risk</t>
  </si>
  <si>
    <t xml:space="preserve">Data Distribution​
Read API + Consumer App</t>
  </si>
  <si>
    <t xml:space="preserve">01 Dec - 04 Dec:
Resumed the store side package deployments after Thanksgiving break
Deployed to all 5000+ stores</t>
  </si>
  <si>
    <t xml:space="preserve">Package Tracking Dashboard</t>
  </si>
  <si>
    <t xml:space="preserve">11 Dec:
UAT Planned for today.</t>
  </si>
  <si>
    <t xml:space="preserve">Production Store Side Deployments</t>
  </si>
  <si>
    <t xml:space="preserve">01 Jan:
Production Deployments starting from - 08 Jan 2024</t>
  </si>
  <si>
    <t xml:space="preserve">Production Carbon UI + Jobs Deployments</t>
  </si>
  <si>
    <t xml:space="preserve">01 Jan:
Production Deployments starting from - 12 Jan 2024</t>
  </si>
  <si>
    <t xml:space="preserve">Initiate Soft Launch Activities</t>
  </si>
  <si>
    <t xml:space="preserve">Soft Launch Activities started on 5th Feb</t>
  </si>
  <si>
    <t xml:space="preserve">Onboarding Business User for Soft launch</t>
  </si>
  <si>
    <t xml:space="preserve">Business users on-boarding on 8 and 9th Feb
</t>
  </si>
  <si>
    <t xml:space="preserve">Shut down the legacy system and jobs over the weekend i.e.  10 and 11 Feb</t>
  </si>
  <si>
    <t xml:space="preserve">Production Roll out planning for the issues </t>
  </si>
  <si>
    <t xml:space="preserve">Planning a release to resolve the open issues in this week and next week</t>
  </si>
  <si>
    <t xml:space="preserve">Issues</t>
  </si>
  <si>
    <t xml:space="preserve">Priority</t>
  </si>
  <si>
    <t xml:space="preserve">Root Cause Analysis</t>
  </si>
  <si>
    <t xml:space="preserve">Resolution</t>
  </si>
  <si>
    <t xml:space="preserve">Date Due</t>
  </si>
  <si>
    <t xml:space="preserve">Date Resolved</t>
  </si>
  <si>
    <t xml:space="preserve">Contract Expiry</t>
  </si>
  <si>
    <t xml:space="preserve">Contract Renewal</t>
  </si>
  <si>
    <t xml:space="preserve">Adam</t>
  </si>
  <si>
    <t xml:space="preserve">30-06-2023</t>
  </si>
  <si>
    <t xml:space="preserve">It is renewed</t>
  </si>
  <si>
    <t xml:space="preserve">Sadia has resigned - May 08, 2023 
Last day is June 27.</t>
  </si>
  <si>
    <t xml:space="preserve">We will have to work with reduced capacity until we can get the replacement from bench</t>
  </si>
  <si>
    <t xml:space="preserve">Resigned</t>
  </si>
  <si>
    <t xml:space="preserve">We have got a QA replacement</t>
  </si>
  <si>
    <r>
      <rPr>
        <b val="true"/>
        <sz val="11"/>
        <color rgb="FF000000"/>
        <rFont val="Calibri"/>
        <family val="0"/>
        <charset val="1"/>
      </rPr>
      <t xml:space="preserve">Action Taken: </t>
    </r>
    <r>
      <rPr>
        <sz val="11"/>
        <color rgb="FF000000"/>
        <rFont val="Calibri"/>
        <family val="0"/>
        <charset val="1"/>
      </rPr>
      <t xml:space="preserve">KT sessions completed
Access Revoked- from Confiz &amp; Walmart</t>
    </r>
  </si>
  <si>
    <t xml:space="preserve">QA resources need a mentor to guide them for the Advanced QA processes
without proper mentorship their perfomance will be limited</t>
  </si>
  <si>
    <t xml:space="preserve">We missed lots of test scenarios for Prescriber. It impacted the Quality of our deliverable.</t>
  </si>
  <si>
    <t xml:space="preserve">We do not have Test Architect in RDM MO Team</t>
  </si>
  <si>
    <t xml:space="preserve">Atieq &amp; QA team agreed that we can learn from our mistakes from Prescriber and will start cross training the team</t>
  </si>
  <si>
    <t xml:space="preserve">Ayyaz/Atieq</t>
  </si>
  <si>
    <t xml:space="preserve">14-06-2023</t>
  </si>
  <si>
    <t xml:space="preserve">Manual Testing takes a lot of time for us to perform testing plus in time critical situations it hampers our ability to respond and deploy in a timely manner</t>
  </si>
  <si>
    <t xml:space="preserve">Time to react/Huge time is lost by manual testing</t>
  </si>
  <si>
    <t xml:space="preserve">Lack of QA Automation/ Lack of experienced trained QA Talent</t>
  </si>
  <si>
    <t xml:space="preserve">Initiated Cypress Automation task by utilizing Israr expertise
Directed other team members to start getting training on Cypress Automation
Assigning Cypress training as a goal for QA team members</t>
  </si>
  <si>
    <r>
      <rPr>
        <b val="true"/>
        <sz val="11"/>
        <color rgb="FF000000"/>
        <rFont val="Calibri"/>
        <family val="0"/>
        <charset val="1"/>
      </rPr>
      <t xml:space="preserve">Action Taken:
</t>
    </r>
    <r>
      <rPr>
        <sz val="11"/>
        <color rgb="FF000000"/>
        <rFont val="Calibri"/>
        <family val="0"/>
        <charset val="1"/>
      </rPr>
      <t xml:space="preserve">Team has been given a task to determin the current state of Automation and 
provide estimates of implementing E2E automation for entire project</t>
    </r>
  </si>
  <si>
    <t xml:space="preserve">We need UI Lead to take ownership of UI related Issues</t>
  </si>
  <si>
    <t xml:space="preserve">We end up discussing most of the UI techincal Issues with Junior team members. or have to step into the situation/meetings ourselves</t>
  </si>
  <si>
    <t xml:space="preserve">Hassan Amjad has availablity issues + at times he is not taking full ownership of UI related issues</t>
  </si>
  <si>
    <t xml:space="preserve">Planning to send an official email after my 1-1 to discuss these concerns with Hassan Amjad</t>
  </si>
  <si>
    <t xml:space="preserve">Planned a 1-1 with Hassan Today but it had to be rescheduled as he was not available</t>
  </si>
  <si>
    <t xml:space="preserve">Requirements are not directly understood by QA - Dev lead the requirements</t>
  </si>
  <si>
    <t xml:space="preserve">Gap in requirement understanding impacts the overall quality of the product</t>
  </si>
  <si>
    <t xml:space="preserve">Scrum team was never made part of origional requirement gathering
+QA were always led by Scrum Masters for requirement understanding</t>
  </si>
  <si>
    <t xml:space="preserve">QAs are now leading the requirement gathering and grooming session and updating the confluence pages accordingly</t>
  </si>
  <si>
    <r>
      <rPr>
        <b val="true"/>
        <sz val="11"/>
        <color rgb="FF000000"/>
        <rFont val="Calibri"/>
        <family val="0"/>
        <charset val="1"/>
      </rPr>
      <t xml:space="preserve">Action Taken:</t>
    </r>
    <r>
      <rPr>
        <sz val="11"/>
        <color rgb="FF000000"/>
        <rFont val="Calibri"/>
        <family val="0"/>
        <charset val="1"/>
      </rPr>
      <t xml:space="preserve"> Recently made QA team members responsible for actively participating in Requirement gathering meetings/grooming meetings
Now QAs are responsible for taking Minutes of the meetings and to update the requirements in confluence.</t>
    </r>
  </si>
  <si>
    <t xml:space="preserve">Salary concerns raised by 3 of our key team members</t>
  </si>
  <si>
    <t xml:space="preserve">They could start looking opportunities outside Confiz.
In this way we will loose our experienced and good performing Team Leads which will definitly impact our Project success</t>
  </si>
  <si>
    <t xml:space="preserve">Their salaries are lower than the current Market rate as per their experience and designation</t>
  </si>
  <si>
    <t xml:space="preserve">We need to carefully review their salaries before July's increment</t>
  </si>
  <si>
    <t xml:space="preserve">Fahid</t>
  </si>
  <si>
    <t xml:space="preserve">18/07/2023</t>
  </si>
  <si>
    <r>
      <rPr>
        <b val="true"/>
        <sz val="11"/>
        <color rgb="FF000000"/>
        <rFont val="Calibri"/>
        <family val="0"/>
        <charset val="1"/>
      </rPr>
      <t xml:space="preserve">Action taken:</t>
    </r>
    <r>
      <rPr>
        <sz val="11"/>
        <color rgb="FF000000"/>
        <rFont val="Calibri"/>
        <family val="0"/>
        <charset val="1"/>
      </rPr>
      <t xml:space="preserve"> 
Had requested the resources to have 1-1 with Fahid Sb on this.</t>
    </r>
  </si>
  <si>
    <t xml:space="preserve">Test Engineer Mustafa Shabaz has resigned</t>
  </si>
  <si>
    <r>
      <rPr>
        <b val="true"/>
        <sz val="11"/>
        <color rgb="FF000000"/>
        <rFont val="Calibri"/>
        <family val="0"/>
        <charset val="1"/>
      </rPr>
      <t xml:space="preserve">Quality of the Project:
</t>
    </r>
    <r>
      <rPr>
        <sz val="11"/>
        <color rgb="FF000000"/>
        <rFont val="Calibri"/>
        <family val="0"/>
        <charset val="1"/>
      </rPr>
      <t xml:space="preserve">We are already QA Deficient and lots of threads are in progress hence QA will become bottle neck</t>
    </r>
  </si>
  <si>
    <t xml:space="preserve">Mustafa has future plans to move to US and his career moves are in line with his future plans</t>
  </si>
  <si>
    <t xml:space="preserve">We need another QA to replace Mustafa in RDM MO</t>
  </si>
  <si>
    <r>
      <rPr>
        <b val="true"/>
        <sz val="11"/>
        <color rgb="FF000000"/>
        <rFont val="Calibri"/>
        <family val="0"/>
        <charset val="1"/>
      </rPr>
      <t xml:space="preserve">Action Taken: </t>
    </r>
    <r>
      <rPr>
        <sz val="11"/>
        <color rgb="FF000000"/>
        <rFont val="Calibri"/>
        <family val="0"/>
        <charset val="1"/>
      </rPr>
      <t xml:space="preserve">Had internal meeting with Team Leads to evaluate resource requirement and team agreed we need QA resource to replace Mustafa ASAP. I have informed PL accordingly.</t>
    </r>
  </si>
  <si>
    <t xml:space="preserve">Hassan Amjad Performance &amp; availability issues</t>
  </si>
  <si>
    <r>
      <rPr>
        <b val="true"/>
        <sz val="11"/>
        <color rgb="FF000000"/>
        <rFont val="Calibri"/>
        <family val="0"/>
        <charset val="1"/>
      </rPr>
      <t xml:space="preserve">Quality and Timeliness of the Project
</t>
    </r>
    <r>
      <rPr>
        <sz val="11"/>
        <color rgb="FF000000"/>
        <rFont val="Calibri"/>
        <family val="0"/>
        <charset val="1"/>
      </rPr>
      <t xml:space="preserve">
</t>
    </r>
    <r>
      <rPr>
        <b val="true"/>
        <sz val="11"/>
        <color rgb="FF000000"/>
        <rFont val="Calibri"/>
        <family val="0"/>
        <charset val="1"/>
      </rPr>
      <t xml:space="preserve">Drug Modules
</t>
    </r>
    <r>
      <rPr>
        <sz val="11"/>
        <color rgb="FF000000"/>
        <rFont val="Calibri"/>
        <family val="0"/>
        <charset val="1"/>
      </rPr>
      <t xml:space="preserve">
Item, Product, MDDB, Mass Update/
GPI OIF</t>
    </r>
  </si>
  <si>
    <t xml:space="preserve">As per Hassan he has family issues 
Mother + Kid</t>
  </si>
  <si>
    <t xml:space="preserve">1) Provide official feed back on tickets
2) Monitor performance more closely
3) if situation persists for September
will need to request for replacement</t>
  </si>
  <si>
    <r>
      <rPr>
        <b val="true"/>
        <sz val="11"/>
        <color rgb="FF000000"/>
        <rFont val="Calibri"/>
        <family val="0"/>
        <charset val="1"/>
      </rPr>
      <t xml:space="preserve">Action Taken:
</t>
    </r>
    <r>
      <rPr>
        <sz val="11"/>
        <color rgb="FF000000"/>
        <rFont val="Calibri"/>
        <family val="0"/>
        <charset val="1"/>
      </rPr>
      <t xml:space="preserve">1) Have had discussed the feedback with him earlier as well
2) Today again shared the feedback on 22 Aug
3) Made him aware that I will be reporting the summary of feedback on his</t>
    </r>
    <r>
      <rPr>
        <b val="true"/>
        <sz val="11"/>
        <color rgb="FF000000"/>
        <rFont val="Calibri"/>
        <family val="0"/>
        <charset val="1"/>
      </rPr>
      <t xml:space="preserve"> goal ticket
</t>
    </r>
    <r>
      <rPr>
        <sz val="11"/>
        <color rgb="FF000000"/>
        <rFont val="Calibri"/>
        <family val="0"/>
        <charset val="1"/>
      </rPr>
      <t xml:space="preserve">4) Made him aware that if he still coudnlt manage to improve the situation we might ask for his </t>
    </r>
    <r>
      <rPr>
        <b val="true"/>
        <sz val="11"/>
        <color rgb="FF000000"/>
        <rFont val="Calibri"/>
        <family val="0"/>
        <charset val="1"/>
      </rPr>
      <t xml:space="preserve">replacement </t>
    </r>
    <r>
      <rPr>
        <sz val="11"/>
        <color rgb="FF000000"/>
        <rFont val="Calibri"/>
        <family val="0"/>
        <charset val="1"/>
      </rPr>
      <t xml:space="preserve">(depending on the situation might also intiate </t>
    </r>
    <r>
      <rPr>
        <b val="true"/>
        <sz val="11"/>
        <color rgb="FF000000"/>
        <rFont val="Calibri"/>
        <family val="0"/>
        <charset val="1"/>
      </rPr>
      <t xml:space="preserve">Elevate Plan</t>
    </r>
    <r>
      <rPr>
        <sz val="11"/>
        <color rgb="FF000000"/>
        <rFont val="Calibri"/>
        <family val="0"/>
        <charset val="1"/>
      </rPr>
      <t xml:space="preserve">)</t>
    </r>
  </si>
  <si>
    <t xml:space="preserve">Hassan Ahmed Minhas Performance Issues</t>
  </si>
  <si>
    <r>
      <rPr>
        <b val="true"/>
        <sz val="11"/>
        <color rgb="FF000000"/>
        <rFont val="Calibri"/>
        <family val="0"/>
        <charset val="1"/>
      </rPr>
      <t xml:space="preserve">Quality and Timeliness of the Project
</t>
    </r>
    <r>
      <rPr>
        <sz val="11"/>
        <color rgb="FF000000"/>
        <rFont val="Calibri"/>
        <family val="0"/>
        <charset val="1"/>
      </rPr>
      <t xml:space="preserve">
</t>
    </r>
    <r>
      <rPr>
        <b val="true"/>
        <sz val="11"/>
        <color rgb="FF000000"/>
        <rFont val="Calibri"/>
        <family val="0"/>
        <charset val="1"/>
      </rPr>
      <t xml:space="preserve">Specific impact:</t>
    </r>
    <r>
      <rPr>
        <sz val="11"/>
        <color rgb="FF000000"/>
        <rFont val="Calibri"/>
        <family val="0"/>
        <charset val="1"/>
      </rPr>
      <t xml:space="preserve"> On the quality of 
Tools Module: Medguide/NDC Linking/Drug History/etc
</t>
    </r>
    <r>
      <rPr>
        <b val="true"/>
        <sz val="11"/>
        <color rgb="FF000000"/>
        <rFont val="Calibri"/>
        <family val="0"/>
        <charset val="1"/>
      </rPr>
      <t xml:space="preserve">General Impact:
</t>
    </r>
    <r>
      <rPr>
        <sz val="11"/>
        <color rgb="FF000000"/>
        <rFont val="Calibri"/>
        <family val="0"/>
        <charset val="1"/>
      </rPr>
      <t xml:space="preserve">He is the senior most resource in QA hence it can impact overall QA team/Over all quality of the Project</t>
    </r>
  </si>
  <si>
    <t xml:space="preserve">He is going through personal life/family pressures due to loss of his both Parents.
He has a younger brother who has special needs.
His Sister is getting married in Sept.</t>
  </si>
  <si>
    <r>
      <rPr>
        <b val="true"/>
        <sz val="11"/>
        <color rgb="FF000000"/>
        <rFont val="Calibri"/>
        <family val="0"/>
        <charset val="1"/>
      </rPr>
      <t xml:space="preserve">Action Taken:
</t>
    </r>
    <r>
      <rPr>
        <sz val="11"/>
        <color rgb="FF000000"/>
        <rFont val="Calibri"/>
        <family val="0"/>
        <charset val="1"/>
      </rPr>
      <t xml:space="preserve">1) Have had discussed the feedback with him earlier as well
2) Today again shared the feedback on 22 Aug
3) Made him aware that I will be reporting the summary of feedback on his </t>
    </r>
    <r>
      <rPr>
        <b val="true"/>
        <sz val="11"/>
        <color rgb="FF000000"/>
        <rFont val="Calibri"/>
        <family val="0"/>
        <charset val="1"/>
      </rPr>
      <t xml:space="preserve">goal ticket
</t>
    </r>
    <r>
      <rPr>
        <sz val="11"/>
        <color rgb="FF000000"/>
        <rFont val="Calibri"/>
        <family val="0"/>
        <charset val="1"/>
      </rPr>
      <t xml:space="preserve">4) Made him aware that if he still coudnlt manage to improve the situation we might ask for his </t>
    </r>
    <r>
      <rPr>
        <b val="true"/>
        <sz val="11"/>
        <color rgb="FF000000"/>
        <rFont val="Calibri"/>
        <family val="0"/>
        <charset val="1"/>
      </rPr>
      <t xml:space="preserve">replacement </t>
    </r>
    <r>
      <rPr>
        <sz val="11"/>
        <color rgb="FF000000"/>
        <rFont val="Calibri"/>
        <family val="0"/>
        <charset val="1"/>
      </rPr>
      <t xml:space="preserve">(depending on the situation might also intiate </t>
    </r>
    <r>
      <rPr>
        <b val="true"/>
        <sz val="11"/>
        <color rgb="FF000000"/>
        <rFont val="Calibri"/>
        <family val="0"/>
        <charset val="1"/>
      </rPr>
      <t xml:space="preserve">Elevate Plan</t>
    </r>
    <r>
      <rPr>
        <sz val="11"/>
        <color rgb="FF000000"/>
        <rFont val="Calibri"/>
        <family val="0"/>
        <charset val="1"/>
      </rPr>
      <t xml:space="preserve">)</t>
    </r>
  </si>
  <si>
    <t xml:space="preserve">[Change Request] - User should be able to send package without making any change (WO)</t>
  </si>
  <si>
    <t xml:space="preserve">Scope changes will impact Production Timelines</t>
  </si>
  <si>
    <t xml:space="preserve">Missing Requirements were never brought up by WM</t>
  </si>
  <si>
    <t xml:space="preserve"> - UI Mockup Required.
- Business understanding required.</t>
  </si>
  <si>
    <t xml:space="preserve">Amir</t>
  </si>
  <si>
    <t xml:space="preserve">work in progress
01 Dec: Demo given to clients</t>
  </si>
  <si>
    <t xml:space="preserve">[Change Request] - Package can be delivered to selected stores</t>
  </si>
  <si>
    <t xml:space="preserve"> - UI Mockup Required.
- Business understanding required.
- Need to look into how to handle the Store distribution list.</t>
  </si>
  <si>
    <t xml:space="preserve">[Change Request] - Package / CnR Report should not be send in business hours</t>
  </si>
  <si>
    <t xml:space="preserve"> - Need agreement with business on scope and functionality
- Understanding Required on Package Scheduling</t>
  </si>
  <si>
    <t xml:space="preserve">Amir/Adil</t>
  </si>
  <si>
    <t xml:space="preserve">work in progress 
01 Dec: Dev Completed</t>
  </si>
  <si>
    <t xml:space="preserve">[Change Request] -  New Store Drug Load </t>
  </si>
  <si>
    <t xml:space="preserve"> - UI Mockups required
- Agreement with business on scope and functionality</t>
  </si>
  <si>
    <t xml:space="preserve">Post MVP (Feb onwards - Due date yet to be determined)</t>
  </si>
  <si>
    <t xml:space="preserve">[Change Request] - Package Tracking</t>
  </si>
  <si>
    <t xml:space="preserve"> - UI Mockup required
- Agreement with business regarding scope and functionality</t>
  </si>
  <si>
    <t xml:space="preserve">Amir/Komal</t>
  </si>
  <si>
    <t xml:space="preserve">work in progress
01 Dec: Demo giving to clients
13 Dec: UAT on 15 Dec -On Track</t>
  </si>
  <si>
    <t xml:space="preserve">[Change Request] - Drug Read APIs need new service for CCM2 Migration</t>
  </si>
  <si>
    <t xml:space="preserve">CCM2 Migration is done by WM but they are facing issues in Production</t>
  </si>
  <si>
    <t xml:space="preserve">Implementation of new service</t>
  </si>
  <si>
    <t xml:space="preserve">Komal/Ramzan</t>
  </si>
  <si>
    <t xml:space="preserve">These are the shared repositories and hence WM team was having the ownership for these kind of changes 
but during the Production deployment WM team faced issues with CCM2 
and shifted the ownership to RDM MO team
13 Dec: On Track</t>
  </si>
  <si>
    <t xml:space="preserve">[Missed Communication from WM] - Cost &amp; Reorder Batch Job Query changed by WM RDM Team</t>
  </si>
  <si>
    <t xml:space="preserve">We need to get it registered by IQS during their freeze period on special permission via Shaun</t>
  </si>
  <si>
    <t xml:space="preserve">WM made some changes in the code which they forgot to inform us.</t>
  </si>
  <si>
    <t xml:space="preserve">Get it registered by IQS</t>
  </si>
  <si>
    <t xml:space="preserve">Adil/Ramzan</t>
  </si>
  <si>
    <t xml:space="preserve">In discussion with IQS - they have routed us to one of their GCP team to get our end points onboarded
01 Dec: Team working to create queries for GCP Team
13 Dec: We have made a good progress data is flowing through GCP 
we are now in process of verifying the data itself.</t>
  </si>
  <si>
    <t xml:space="preserve">[Missed Dependency from WM ] - HW Data in TeraData Tables - Informix Database - Legacy Feed</t>
  </si>
  <si>
    <t xml:space="preserve">We cannot swtich to new deployment untill and unless this feed data is migrated to new cloud DB</t>
  </si>
  <si>
    <t xml:space="preserve">WM team missed to identify this dependency in the initial phases</t>
  </si>
  <si>
    <t xml:space="preserve">Data Migration Plan to be confirmed by WM</t>
  </si>
  <si>
    <t xml:space="preserve">WM</t>
  </si>
  <si>
    <t xml:space="preserve">01 Dec: work in progress from WM
13 Dec: workin Progress from WM and they have confirmed they are on Track</t>
  </si>
  <si>
    <t xml:space="preserve">[Change Request] - Change Item cost in Same day </t>
  </si>
  <si>
    <t xml:space="preserve">Requirement Change implementation will impact Production Timelines
- Carbon UI
- BE API
- Drug history / CnR "</t>
  </si>
  <si>
    <t xml:space="preserve">New Requirement</t>
  </si>
  <si>
    <t xml:space="preserve">Requirements pending.</t>
  </si>
  <si>
    <t xml:space="preserve">Proposed the solution to the business now waiting on their response
01 Dec: Development In Progress
13 Dec: On Track</t>
  </si>
  <si>
    <t xml:space="preserve">GPI Template</t>
  </si>
  <si>
    <t xml:space="preserve">New Development to find its trigger point - MDDB to Patient Safty data</t>
  </si>
  <si>
    <t xml:space="preserve">Create email and send it</t>
  </si>
  <si>
    <t xml:space="preserve">Ramzan</t>
  </si>
  <si>
    <t xml:space="preserve">Changes suggested in GPI Email template - Analysis in progress few questions pending on clients
01 Dec: Changes presented to Clients waiting for approval
13 Dec: On Track</t>
  </si>
  <si>
    <t xml:space="preserve">SOX Compliance</t>
  </si>
  <si>
    <t xml:space="preserve">Migrate from KeyVault to AKeyLess
Minor impact on integration</t>
  </si>
  <si>
    <t xml:space="preserve">Integration to AKeyLess Server</t>
  </si>
  <si>
    <t xml:space="preserve">SOX Compliance - Migration to AkeyLess (KeyVault passwords API/DB)
01 Dec: Coordinating with Sindhoor to get NameSpaces etc.
13 Dec: On Track</t>
  </si>
  <si>
    <t xml:space="preserve">For Production Release we need to disable legacy application menus/services</t>
  </si>
  <si>
    <t xml:space="preserve">We are not contractually obliged to change Legacy GPH app if something goes wrong we will have to take the blame</t>
  </si>
  <si>
    <t xml:space="preserve">We should take a firm stance in these kind of situations</t>
  </si>
  <si>
    <t xml:space="preserve">Agreed Decision - FE service will be shut down by the Walmart team and BE services will be shut down by Confiz team</t>
  </si>
  <si>
    <t xml:space="preserve">Decisions</t>
  </si>
  <si>
    <t xml:space="preserve">Rationale</t>
  </si>
  <si>
    <t xml:space="preserve">Decided By</t>
  </si>
  <si>
    <t xml:space="preserve">Date Decided</t>
  </si>
  <si>
    <t xml:space="preserve">We will replace Mustafa S (Test Engineer) with another Test Engineering resource</t>
  </si>
  <si>
    <t xml:space="preserve">we are QA deficient and have enough FE resources already.</t>
  </si>
  <si>
    <t xml:space="preserve">We will be hiring new QA resource externally (from the Market)</t>
  </si>
  <si>
    <t xml:space="preserve">we do not have QA resource available within Confiz</t>
  </si>
  <si>
    <t xml:space="preserve">Faizan sid will be available from 18 Sept onwards
Soft Test Engineer</t>
  </si>
  <si>
    <t xml:space="preserve">Hassan Ahmed Minhas is swapped with Israr Javed
(Tools / GPI)
</t>
  </si>
  <si>
    <t xml:space="preserve">Tools has a complex domain and team lead was not satisfied with Hassan's Performance. (GPI/OIF is relatively straightforward)</t>
  </si>
  <si>
    <t xml:space="preserve">New Dev Salahudin enagaged with Tools Team</t>
  </si>
  <si>
    <t xml:space="preserve">Tools team has the most complex work that includes FE development so its a good learning ground</t>
  </si>
  <si>
    <t xml:space="preserve">New TE Faizan Siddique Engagaed with Tools Team to replace Mustafa </t>
  </si>
  <si>
    <t xml:space="preserve">Mustafa resigned and he was working for Tools Team</t>
  </si>
  <si>
    <t xml:space="preserve">Packages Apply - Manually updates the status of package in Database and this has already been shared with the customer</t>
  </si>
  <si>
    <t xml:space="preserve">To show correct information/data on the status dashboard</t>
  </si>
  <si>
    <t xml:space="preserve">Ops team on-boarding package - Daily monitor the store consumer application and restart if required and this has been shared with customer</t>
  </si>
  <si>
    <t xml:space="preserve">To apply the packages on all stores</t>
  </si>
  <si>
    <t xml:space="preserve">Dependencies</t>
  </si>
  <si>
    <t xml:space="preserve">Importance</t>
  </si>
  <si>
    <t xml:space="preserve">For GPI we have dependency on IQS team which a Third Party company to provide access to their Stage environments</t>
  </si>
  <si>
    <t xml:space="preserve">Connexus not working on test boxes.</t>
  </si>
  <si>
    <t xml:space="preserve">IQS onboarding for OIF</t>
  </si>
  <si>
    <t xml:space="preserve">ClarusOne API access</t>
  </si>
  <si>
    <t xml:space="preserve">IQS onboarding for Cost &amp; Reorder</t>
  </si>
  <si>
    <t xml:space="preserve">Adil</t>
  </si>
  <si>
    <t xml:space="preserve">&lt;Project Name&gt;</t>
  </si>
  <si>
    <t xml:space="preserve">Project Type</t>
  </si>
  <si>
    <t xml:space="preserve">Managed Outcome</t>
  </si>
  <si>
    <t xml:space="preserve">KPI</t>
  </si>
  <si>
    <t xml:space="preserve">Applicability </t>
  </si>
  <si>
    <t xml:space="preserve">Frequency</t>
  </si>
  <si>
    <t xml:space="preserve">Possible Values</t>
  </si>
  <si>
    <t xml:space="preserve">Target Value</t>
  </si>
  <si>
    <t xml:space="preserve">Excellence in Delivery</t>
  </si>
  <si>
    <t xml:space="preserve">Were all (if any) estimates shared after proper requirements analysis?</t>
  </si>
  <si>
    <t xml:space="preserve">Y</t>
  </si>
  <si>
    <t xml:space="preserve">Monthly</t>
  </si>
  <si>
    <t xml:space="preserve">YES | NO</t>
  </si>
  <si>
    <t xml:space="preserve">YES</t>
  </si>
  <si>
    <t xml:space="preserve">US Delivery Lead</t>
  </si>
  <si>
    <t xml:space="preserve">Number of tasks committed without proper acceptance criteria?</t>
  </si>
  <si>
    <t xml:space="preserve">Number &gt;= 0</t>
  </si>
  <si>
    <t xml:space="preserve">Missed delivery deadlines?</t>
  </si>
  <si>
    <t xml:space="preserve">NO</t>
  </si>
  <si>
    <t xml:space="preserve">Does an identified product backlog exist from where sprint backlog is populated?</t>
  </si>
  <si>
    <t xml:space="preserve">Members not having taken Information Privacy and Social media guidelines course</t>
  </si>
  <si>
    <t xml:space="preserve">Frequency of formal sync with relevant highest level stakeholder?(in Weeks)</t>
  </si>
  <si>
    <t xml:space="preserve">Number of client meetings not attended by PM or US Delivery Lead</t>
  </si>
  <si>
    <t xml:space="preserve">Identified Customer Product Owner exists?</t>
  </si>
  <si>
    <t xml:space="preserve">Number of escalations by customer?</t>
  </si>
  <si>
    <t xml:space="preserve">How many team members (except US delivery owner and scrum master / project manager) had no tasks assigned in the last two sprints?</t>
  </si>
  <si>
    <t xml:space="preserve">What is the average length of daily standup? (in minutes)</t>
  </si>
  <si>
    <t xml:space="preserve">Number &gt;= 1</t>
  </si>
  <si>
    <t xml:space="preserve">How many stories spilled over in the last month ?</t>
  </si>
  <si>
    <t xml:space="preserve">People &amp; Morale</t>
  </si>
  <si>
    <t xml:space="preserve">Turnover in US Team</t>
  </si>
  <si>
    <t xml:space="preserve">Number &gt;=0</t>
  </si>
  <si>
    <t xml:space="preserve">Turnover in GDC Team</t>
  </si>
  <si>
    <t xml:space="preserve">Key roles missing (like PM, Architect, Onsite Deliver Lead)</t>
  </si>
  <si>
    <t xml:space="preserve">Is the team facing any unrealistic expectation from customer on scope or timeline?</t>
  </si>
  <si>
    <t xml:space="preserve">Number of days team worked on a weekend or public holidays to meet customer expectations?</t>
  </si>
  <si>
    <t xml:space="preserve">Number of days the team worked overtime during the weekdays to meet the customer expectation?</t>
  </si>
  <si>
    <t xml:space="preserve">Open positions</t>
  </si>
  <si>
    <t xml:space="preserve">Sustained Growth</t>
  </si>
  <si>
    <t xml:space="preserve">Last month's revenue on target?</t>
  </si>
  <si>
    <t xml:space="preserve">Last month's gross margin on target?</t>
  </si>
  <si>
    <t xml:space="preserve">Planned utilization for team for next month?</t>
  </si>
  <si>
    <t xml:space="preserve">Number 0&gt;=, &lt;=100</t>
  </si>
  <si>
    <t xml:space="preserve">How many new threads opened in last one month?</t>
  </si>
  <si>
    <t xml:space="preserve">Strategic Impact</t>
  </si>
  <si>
    <t xml:space="preserve">HIGH</t>
  </si>
  <si>
    <t xml:space="preserve">Perceived business impact of our work?</t>
  </si>
  <si>
    <t xml:space="preserve">High, Medium, Low</t>
  </si>
  <si>
    <t xml:space="preserve">LOW</t>
  </si>
  <si>
    <t xml:space="preserve">MEDIUM</t>
  </si>
  <si>
    <t xml:space="preserve">Tangible financial impact of our work? (Consult Oracle for definition of High, Medium and Low impact)</t>
  </si>
  <si>
    <t xml:space="preserve">How many times have we made a tangible strategic impact?</t>
  </si>
  <si>
    <t xml:space="preserve">Did the Confiz team take the lead in intorducing a new process, tool or technology that improved the overall execution/implementation of the project?</t>
  </si>
  <si>
    <t xml:space="preserve">Project Specific</t>
  </si>
  <si>
    <t xml:space="preserve">&lt;&lt;   &gt;&gt;</t>
  </si>
  <si>
    <t xml:space="preserve">House Keeping</t>
  </si>
  <si>
    <t xml:space="preserve">Person filling this information</t>
  </si>
  <si>
    <t xml:space="preserve">&lt;Name&gt;</t>
  </si>
  <si>
    <t xml:space="preserve">-</t>
  </si>
  <si>
    <t xml:space="preserve">US Anchor</t>
  </si>
  <si>
    <t xml:space="preserve">Date Filled</t>
  </si>
  <si>
    <t xml:space="preserve">&lt;Date&gt;</t>
  </si>
  <si>
    <t xml:space="preserve">How long it took you to fill it out? (in minutes)</t>
  </si>
  <si>
    <t xml:space="preserve">&lt;=10</t>
  </si>
  <si>
    <t xml:space="preserve">Risk Status</t>
  </si>
  <si>
    <t xml:space="preserve">Milestone Status</t>
  </si>
  <si>
    <t xml:space="preserve">Priority/Severity</t>
  </si>
  <si>
    <t xml:space="preserve">Yes/No</t>
  </si>
  <si>
    <t xml:space="preserve">Cancelled</t>
  </si>
  <si>
    <t xml:space="preserve">Very Low</t>
  </si>
  <si>
    <t xml:space="preserve">Probability</t>
  </si>
  <si>
    <t xml:space="preserve">Urgency</t>
  </si>
</sst>
</file>

<file path=xl/styles.xml><?xml version="1.0" encoding="utf-8"?>
<styleSheet xmlns="http://schemas.openxmlformats.org/spreadsheetml/2006/main">
  <numFmts count="7">
    <numFmt numFmtId="164" formatCode="General"/>
    <numFmt numFmtId="165" formatCode="d\-mmm\-yy"/>
    <numFmt numFmtId="166" formatCode="0.0"/>
    <numFmt numFmtId="167" formatCode="General"/>
    <numFmt numFmtId="168" formatCode="m/d/yyyy"/>
    <numFmt numFmtId="169" formatCode="d\-mmm"/>
    <numFmt numFmtId="170" formatCode="mmm\-yyyy"/>
  </numFmts>
  <fonts count="20">
    <font>
      <sz val="11"/>
      <color theme="1"/>
      <name val="Calibri"/>
      <family val="2"/>
      <charset val="1"/>
    </font>
    <font>
      <sz val="10"/>
      <name val="Arial"/>
      <family val="0"/>
    </font>
    <font>
      <sz val="10"/>
      <name val="Arial"/>
      <family val="0"/>
    </font>
    <font>
      <sz val="10"/>
      <name val="Arial"/>
      <family val="0"/>
    </font>
    <font>
      <sz val="10"/>
      <name val="Arial"/>
      <family val="0"/>
      <charset val="1"/>
    </font>
    <font>
      <b val="true"/>
      <sz val="14"/>
      <color rgb="FF000000"/>
      <name val="Arial"/>
      <family val="0"/>
      <charset val="1"/>
    </font>
    <font>
      <b val="true"/>
      <sz val="12"/>
      <color rgb="FF000000"/>
      <name val="Arial"/>
      <family val="2"/>
      <charset val="1"/>
    </font>
    <font>
      <sz val="10"/>
      <name val="Arial"/>
      <family val="2"/>
      <charset val="1"/>
    </font>
    <font>
      <b val="true"/>
      <sz val="12"/>
      <color theme="1"/>
      <name val="Calibri"/>
      <family val="2"/>
      <charset val="1"/>
    </font>
    <font>
      <b val="true"/>
      <sz val="11"/>
      <color theme="1"/>
      <name val="Calibri"/>
      <family val="2"/>
      <charset val="1"/>
    </font>
    <font>
      <b val="true"/>
      <sz val="16"/>
      <color theme="1"/>
      <name val="Calibri"/>
      <family val="2"/>
      <charset val="1"/>
    </font>
    <font>
      <b val="true"/>
      <sz val="11"/>
      <color rgb="FF000000"/>
      <name val="Calibri"/>
      <family val="0"/>
      <charset val="1"/>
    </font>
    <font>
      <i val="true"/>
      <sz val="11"/>
      <color rgb="FF000000"/>
      <name val="Calibri"/>
      <family val="0"/>
      <charset val="1"/>
    </font>
    <font>
      <sz val="11"/>
      <name val="Calibri"/>
      <family val="2"/>
      <charset val="1"/>
    </font>
    <font>
      <sz val="10"/>
      <color rgb="FF000000"/>
      <name val="Calibri"/>
      <family val="0"/>
      <charset val="1"/>
    </font>
    <font>
      <sz val="11"/>
      <color rgb="FF000000"/>
      <name val="Calibri"/>
      <family val="0"/>
      <charset val="1"/>
    </font>
    <font>
      <sz val="10"/>
      <name val="Arial"/>
      <family val="2"/>
    </font>
    <font>
      <b val="true"/>
      <sz val="16"/>
      <name val="Calibri"/>
      <family val="2"/>
      <charset val="1"/>
    </font>
    <font>
      <b val="true"/>
      <sz val="11"/>
      <color rgb="FF000000"/>
      <name val="Calibri"/>
      <family val="2"/>
      <charset val="1"/>
    </font>
    <font>
      <sz val="11"/>
      <color rgb="FF000000"/>
      <name val="Calibri"/>
      <family val="2"/>
      <charset val="1"/>
    </font>
  </fonts>
  <fills count="11">
    <fill>
      <patternFill patternType="none"/>
    </fill>
    <fill>
      <patternFill patternType="gray125"/>
    </fill>
    <fill>
      <patternFill patternType="solid">
        <fgColor rgb="FFF2F2F2"/>
        <bgColor rgb="FFEBF1DE"/>
      </patternFill>
    </fill>
    <fill>
      <patternFill patternType="solid">
        <fgColor rgb="FFD9D9D9"/>
        <bgColor rgb="FFD0CECE"/>
      </patternFill>
    </fill>
    <fill>
      <patternFill patternType="solid">
        <fgColor theme="6" tint="0.7999"/>
        <bgColor rgb="FFF2F2F2"/>
      </patternFill>
    </fill>
    <fill>
      <patternFill patternType="solid">
        <fgColor theme="9" tint="0.3999"/>
        <bgColor rgb="FFFFC7CE"/>
      </patternFill>
    </fill>
    <fill>
      <patternFill patternType="solid">
        <fgColor rgb="FF92D050"/>
        <bgColor rgb="FFA6A6A6"/>
      </patternFill>
    </fill>
    <fill>
      <patternFill patternType="solid">
        <fgColor rgb="FFD0CECE"/>
        <bgColor rgb="FFD9D9D9"/>
      </patternFill>
    </fill>
    <fill>
      <patternFill patternType="solid">
        <fgColor rgb="FFC6E0B4"/>
        <bgColor rgb="FFC6EFCE"/>
      </patternFill>
    </fill>
    <fill>
      <patternFill patternType="solid">
        <fgColor rgb="FFFFFF00"/>
        <bgColor rgb="FFFFFF00"/>
      </patternFill>
    </fill>
    <fill>
      <patternFill patternType="solid">
        <fgColor theme="8" tint="0.5999"/>
        <bgColor rgb="FFC6EFCE"/>
      </patternFill>
    </fill>
  </fills>
  <borders count="25">
    <border diagonalUp="false" diagonalDown="false">
      <left/>
      <right/>
      <top/>
      <bottom/>
      <diagonal/>
    </border>
    <border diagonalUp="false" diagonalDown="false">
      <left style="thin"/>
      <right/>
      <top style="thin"/>
      <bottom/>
      <diagonal/>
    </border>
    <border diagonalUp="false" diagonalDown="false">
      <left/>
      <right/>
      <top style="thin"/>
      <bottom/>
      <diagonal/>
    </border>
    <border diagonalUp="false" diagonalDown="false">
      <left/>
      <right style="thin"/>
      <top style="thin"/>
      <bottom/>
      <diagonal/>
    </border>
    <border diagonalUp="false" diagonalDown="false">
      <left style="thin"/>
      <right/>
      <top/>
      <bottom/>
      <diagonal/>
    </border>
    <border diagonalUp="false" diagonalDown="false">
      <left style="thin"/>
      <right style="thin"/>
      <top style="thin"/>
      <bottom style="thin"/>
      <diagonal/>
    </border>
    <border diagonalUp="false" diagonalDown="false">
      <left/>
      <right style="thin"/>
      <top/>
      <bottom/>
      <diagonal/>
    </border>
    <border diagonalUp="false" diagonalDown="false">
      <left style="thin"/>
      <right/>
      <top/>
      <bottom style="thin"/>
      <diagonal/>
    </border>
    <border diagonalUp="false" diagonalDown="false">
      <left/>
      <right/>
      <top/>
      <bottom style="thin"/>
      <diagonal/>
    </border>
    <border diagonalUp="false" diagonalDown="false">
      <left/>
      <right style="thin"/>
      <top/>
      <bottom style="thin"/>
      <diagonal/>
    </border>
    <border diagonalUp="false" diagonalDown="false">
      <left style="medium"/>
      <right style="medium"/>
      <top style="medium"/>
      <bottom style="medium"/>
      <diagonal/>
    </border>
    <border diagonalUp="false" diagonalDown="false">
      <left style="medium"/>
      <right style="medium"/>
      <top/>
      <bottom style="thin"/>
      <diagonal/>
    </border>
    <border diagonalUp="false" diagonalDown="false">
      <left style="medium"/>
      <right style="medium"/>
      <top style="thin"/>
      <bottom style="medium"/>
      <diagonal/>
    </border>
    <border diagonalUp="false" diagonalDown="false">
      <left style="medium"/>
      <right/>
      <top style="medium"/>
      <bottom/>
      <diagonal/>
    </border>
    <border diagonalUp="false" diagonalDown="false">
      <left style="medium"/>
      <right style="medium"/>
      <top style="medium"/>
      <bottom/>
      <diagonal/>
    </border>
    <border diagonalUp="false" diagonalDown="false">
      <left/>
      <right style="medium"/>
      <top style="medium"/>
      <bottom/>
      <diagonal/>
    </border>
    <border diagonalUp="false" diagonalDown="false">
      <left style="medium"/>
      <right/>
      <top style="medium"/>
      <bottom style="thin"/>
      <diagonal/>
    </border>
    <border diagonalUp="false" diagonalDown="false">
      <left style="medium"/>
      <right/>
      <top style="thin"/>
      <bottom style="thin"/>
      <diagonal/>
    </border>
    <border diagonalUp="false" diagonalDown="false">
      <left style="medium"/>
      <right/>
      <top style="thin"/>
      <bottom style="medium"/>
      <diagonal/>
    </border>
    <border diagonalUp="false" diagonalDown="false">
      <left style="thin"/>
      <right style="thin"/>
      <top style="thin"/>
      <bottom/>
      <diagonal/>
    </border>
    <border diagonalUp="false" diagonalDown="false">
      <left style="thin"/>
      <right/>
      <top style="thin"/>
      <bottom style="thin"/>
      <diagonal/>
    </border>
    <border diagonalUp="false" diagonalDown="false">
      <left/>
      <right style="thin"/>
      <top style="thin"/>
      <bottom style="thin"/>
      <diagonal/>
    </border>
    <border diagonalUp="false" diagonalDown="false">
      <left style="thin"/>
      <right style="thin"/>
      <top/>
      <bottom style="thin"/>
      <diagonal/>
    </border>
    <border diagonalUp="false" diagonalDown="false">
      <left style="thin"/>
      <right style="thin"/>
      <top/>
      <bottom/>
      <diagonal/>
    </border>
    <border diagonalUp="false" diagonalDown="false">
      <left/>
      <right/>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0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center" vertical="bottom" textRotation="0" wrapText="false" indent="0" shrinkToFit="false"/>
      <protection locked="true" hidden="false"/>
    </xf>
    <xf numFmtId="164" fontId="5" fillId="2" borderId="0" xfId="0" applyFont="true" applyBorder="false" applyAlignment="true" applyProtection="false">
      <alignment horizontal="center" vertical="top" textRotation="0" wrapText="true" indent="0" shrinkToFit="false"/>
      <protection locked="true" hidden="false"/>
    </xf>
    <xf numFmtId="164" fontId="4" fillId="2" borderId="1" xfId="0" applyFont="true" applyBorder="true" applyAlignment="false" applyProtection="false">
      <alignment horizontal="general" vertical="bottom" textRotation="0" wrapText="false" indent="0" shrinkToFit="false"/>
      <protection locked="true" hidden="false"/>
    </xf>
    <xf numFmtId="164" fontId="4" fillId="2" borderId="2" xfId="0" applyFont="true" applyBorder="true" applyAlignment="false" applyProtection="false">
      <alignment horizontal="general" vertical="bottom" textRotation="0" wrapText="false" indent="0" shrinkToFit="false"/>
      <protection locked="true" hidden="false"/>
    </xf>
    <xf numFmtId="164" fontId="4" fillId="2" borderId="3" xfId="0" applyFont="true" applyBorder="true" applyAlignment="false" applyProtection="false">
      <alignment horizontal="general" vertical="bottom" textRotation="0" wrapText="false" indent="0" shrinkToFit="false"/>
      <protection locked="true" hidden="false"/>
    </xf>
    <xf numFmtId="164" fontId="4" fillId="2" borderId="4" xfId="0" applyFont="true" applyBorder="true" applyAlignment="false" applyProtection="false">
      <alignment horizontal="general" vertical="bottom" textRotation="0" wrapText="false" indent="0" shrinkToFit="false"/>
      <protection locked="true" hidden="false"/>
    </xf>
    <xf numFmtId="164" fontId="4" fillId="2" borderId="0" xfId="0" applyFont="true" applyBorder="false" applyAlignment="false" applyProtection="false">
      <alignment horizontal="general" vertical="bottom" textRotation="0" wrapText="false" indent="0" shrinkToFit="false"/>
      <protection locked="true" hidden="false"/>
    </xf>
    <xf numFmtId="164" fontId="5" fillId="2" borderId="5" xfId="0" applyFont="true" applyBorder="true" applyAlignment="true" applyProtection="false">
      <alignment horizontal="center" vertical="top" textRotation="0" wrapText="true" indent="0" shrinkToFit="false"/>
      <protection locked="true" hidden="false"/>
    </xf>
    <xf numFmtId="164" fontId="4" fillId="2" borderId="6" xfId="0" applyFont="true" applyBorder="true" applyAlignment="false" applyProtection="false">
      <alignment horizontal="general" vertical="bottom" textRotation="0" wrapText="false" indent="0" shrinkToFit="false"/>
      <protection locked="true" hidden="false"/>
    </xf>
    <xf numFmtId="164" fontId="4" fillId="2" borderId="7" xfId="0" applyFont="true" applyBorder="true" applyAlignment="false" applyProtection="false">
      <alignment horizontal="general" vertical="bottom" textRotation="0" wrapText="false" indent="0" shrinkToFit="false"/>
      <protection locked="true" hidden="false"/>
    </xf>
    <xf numFmtId="164" fontId="4" fillId="2" borderId="8" xfId="0" applyFont="true" applyBorder="true" applyAlignment="false" applyProtection="false">
      <alignment horizontal="general" vertical="bottom" textRotation="0" wrapText="false" indent="0" shrinkToFit="false"/>
      <protection locked="true" hidden="false"/>
    </xf>
    <xf numFmtId="164" fontId="4" fillId="2" borderId="9" xfId="0" applyFont="true" applyBorder="true" applyAlignment="false" applyProtection="false">
      <alignment horizontal="general" vertical="bottom" textRotation="0" wrapText="false" indent="0" shrinkToFit="false"/>
      <protection locked="true" hidden="false"/>
    </xf>
    <xf numFmtId="164" fontId="6" fillId="3" borderId="5" xfId="0" applyFont="true" applyBorder="true" applyAlignment="true" applyProtection="false">
      <alignment horizontal="center" vertical="bottom" textRotation="0" wrapText="false" indent="0" shrinkToFit="false"/>
      <protection locked="true" hidden="false"/>
    </xf>
    <xf numFmtId="164" fontId="7" fillId="0" borderId="5" xfId="0" applyFont="true" applyBorder="true" applyAlignment="true" applyProtection="false">
      <alignment horizontal="center" vertical="bottom" textRotation="0" wrapText="false" indent="0" shrinkToFit="false"/>
      <protection locked="true" hidden="false"/>
    </xf>
    <xf numFmtId="164" fontId="7" fillId="0" borderId="5" xfId="0" applyFont="true" applyBorder="true" applyAlignment="false" applyProtection="false">
      <alignment horizontal="general" vertical="bottom" textRotation="0" wrapText="false" indent="0" shrinkToFit="false"/>
      <protection locked="true" hidden="false"/>
    </xf>
    <xf numFmtId="165" fontId="7" fillId="0" borderId="5" xfId="0" applyFont="true" applyBorder="true" applyAlignment="true" applyProtection="false">
      <alignment horizontal="center" vertical="bottom" textRotation="0" wrapText="false" indent="0" shrinkToFit="false"/>
      <protection locked="true" hidden="false"/>
    </xf>
    <xf numFmtId="166" fontId="7" fillId="0" borderId="5" xfId="0" applyFont="true" applyBorder="true" applyAlignment="true" applyProtection="false">
      <alignment horizontal="center" vertical="bottom" textRotation="0" wrapText="false" indent="0" shrinkToFit="false"/>
      <protection locked="true" hidden="false"/>
    </xf>
    <xf numFmtId="164" fontId="7" fillId="0" borderId="5" xfId="0" applyFont="true" applyBorder="true" applyAlignment="true" applyProtection="false">
      <alignment horizontal="left" vertical="bottom" textRotation="0" wrapText="false" indent="0" shrinkToFit="false"/>
      <protection locked="true" hidden="false"/>
    </xf>
    <xf numFmtId="164" fontId="8" fillId="4" borderId="10" xfId="0" applyFont="true" applyBorder="true" applyAlignment="false" applyProtection="false">
      <alignment horizontal="general" vertical="bottom" textRotation="0" wrapText="false" indent="0" shrinkToFit="false"/>
      <protection locked="true" hidden="false"/>
    </xf>
    <xf numFmtId="164" fontId="8" fillId="4" borderId="11" xfId="0" applyFont="true" applyBorder="true" applyAlignment="false" applyProtection="false">
      <alignment horizontal="general" vertical="bottom" textRotation="0" wrapText="false" indent="0" shrinkToFit="false"/>
      <protection locked="true" hidden="false"/>
    </xf>
    <xf numFmtId="164" fontId="8" fillId="4" borderId="12" xfId="0" applyFont="true" applyBorder="true" applyAlignment="false" applyProtection="false">
      <alignment horizontal="general" vertical="bottom" textRotation="0" wrapText="false" indent="0" shrinkToFit="false"/>
      <protection locked="true" hidden="false"/>
    </xf>
    <xf numFmtId="164" fontId="8" fillId="5" borderId="13" xfId="0" applyFont="true" applyBorder="true" applyAlignment="false" applyProtection="false">
      <alignment horizontal="general" vertical="bottom" textRotation="0" wrapText="false" indent="0" shrinkToFit="false"/>
      <protection locked="true" hidden="false"/>
    </xf>
    <xf numFmtId="164" fontId="9" fillId="3" borderId="14" xfId="0" applyFont="true" applyBorder="true" applyAlignment="true" applyProtection="false">
      <alignment horizontal="center" vertical="center" textRotation="0" wrapText="false" indent="0" shrinkToFit="false"/>
      <protection locked="true" hidden="false"/>
    </xf>
    <xf numFmtId="164" fontId="9" fillId="3" borderId="13" xfId="0" applyFont="true" applyBorder="true" applyAlignment="true" applyProtection="false">
      <alignment horizontal="center" vertical="center" textRotation="0" wrapText="false" indent="0" shrinkToFit="false"/>
      <protection locked="true" hidden="false"/>
    </xf>
    <xf numFmtId="164" fontId="9" fillId="3" borderId="15" xfId="0" applyFont="true" applyBorder="true" applyAlignment="true" applyProtection="false">
      <alignment horizontal="center" vertical="center" textRotation="0" wrapText="false" indent="0" shrinkToFit="false"/>
      <protection locked="true" hidden="false"/>
    </xf>
    <xf numFmtId="164" fontId="0" fillId="0" borderId="16" xfId="0" applyFont="true" applyBorder="true" applyAlignment="false" applyProtection="false">
      <alignment horizontal="general" vertical="bottom" textRotation="0" wrapText="false" indent="0" shrinkToFit="false"/>
      <protection locked="true" hidden="false"/>
    </xf>
    <xf numFmtId="164" fontId="0" fillId="0" borderId="5" xfId="0" applyFont="false" applyBorder="true" applyAlignment="true" applyProtection="false">
      <alignment horizontal="center" vertical="center" textRotation="0" wrapText="false" indent="0" shrinkToFit="false"/>
      <protection locked="true" hidden="false"/>
    </xf>
    <xf numFmtId="164" fontId="0" fillId="0" borderId="5" xfId="0" applyFont="true" applyBorder="true" applyAlignment="true" applyProtection="false">
      <alignment horizontal="center" vertical="center" textRotation="0" wrapText="false" indent="0" shrinkToFit="false"/>
      <protection locked="true" hidden="false"/>
    </xf>
    <xf numFmtId="164" fontId="0" fillId="0" borderId="17" xfId="0" applyFont="true" applyBorder="true" applyAlignment="false" applyProtection="false">
      <alignment horizontal="general" vertical="bottom" textRotation="0" wrapText="false" indent="0" shrinkToFit="false"/>
      <protection locked="true" hidden="false"/>
    </xf>
    <xf numFmtId="164" fontId="0" fillId="0" borderId="18" xfId="0" applyFont="true" applyBorder="tru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center" vertical="bottom" textRotation="0" wrapText="false" indent="0" shrinkToFit="false"/>
      <protection locked="false" hidden="false"/>
    </xf>
    <xf numFmtId="164" fontId="0" fillId="0" borderId="0" xfId="0" applyFont="false" applyBorder="false" applyAlignment="false" applyProtection="true">
      <alignment horizontal="general" vertical="bottom" textRotation="0" wrapText="false" indent="0" shrinkToFit="false"/>
      <protection locked="false" hidden="false"/>
    </xf>
    <xf numFmtId="164" fontId="0" fillId="0" borderId="0" xfId="0" applyFont="false" applyBorder="false" applyAlignment="true" applyProtection="true">
      <alignment horizontal="general" vertical="bottom" textRotation="0" wrapText="true" indent="0" shrinkToFit="false"/>
      <protection locked="false" hidden="false"/>
    </xf>
    <xf numFmtId="164" fontId="10" fillId="6" borderId="5" xfId="0" applyFont="true" applyBorder="true" applyAlignment="true" applyProtection="false">
      <alignment horizontal="center" vertical="bottom" textRotation="0" wrapText="false" indent="0" shrinkToFit="false"/>
      <protection locked="true" hidden="false"/>
    </xf>
    <xf numFmtId="164" fontId="9" fillId="7" borderId="5" xfId="0" applyFont="true" applyBorder="true" applyAlignment="true" applyProtection="false">
      <alignment horizontal="center" vertical="center" textRotation="0" wrapText="true" indent="0" shrinkToFit="false"/>
      <protection locked="true" hidden="false"/>
    </xf>
    <xf numFmtId="164" fontId="11" fillId="7" borderId="5" xfId="0" applyFont="true" applyBorder="true" applyAlignment="true" applyProtection="false">
      <alignment horizontal="center" vertical="center" textRotation="0" wrapText="true" indent="0" shrinkToFit="false"/>
      <protection locked="true" hidden="false"/>
    </xf>
    <xf numFmtId="164" fontId="0" fillId="0" borderId="0" xfId="0" applyFont="false" applyBorder="false" applyAlignment="true" applyProtection="true">
      <alignment horizontal="center" vertical="center" textRotation="0" wrapText="false" indent="0" shrinkToFit="false"/>
      <protection locked="false" hidden="false"/>
    </xf>
    <xf numFmtId="164" fontId="0" fillId="0" borderId="5" xfId="0" applyFont="false" applyBorder="true" applyAlignment="true" applyProtection="false">
      <alignment horizontal="center" vertical="top" textRotation="0" wrapText="false" indent="0" shrinkToFit="false"/>
      <protection locked="true" hidden="false"/>
    </xf>
    <xf numFmtId="164" fontId="0" fillId="0" borderId="5" xfId="0" applyFont="true" applyBorder="true" applyAlignment="true" applyProtection="true">
      <alignment horizontal="general" vertical="top" textRotation="0" wrapText="true" indent="0" shrinkToFit="false"/>
      <protection locked="false" hidden="false"/>
    </xf>
    <xf numFmtId="164" fontId="13" fillId="0" borderId="5" xfId="0" applyFont="true" applyBorder="true" applyAlignment="true" applyProtection="true">
      <alignment horizontal="center" vertical="top" textRotation="0" wrapText="true" indent="0" shrinkToFit="false"/>
      <protection locked="false" hidden="false"/>
    </xf>
    <xf numFmtId="164" fontId="0" fillId="0" borderId="5" xfId="0" applyFont="true" applyBorder="true" applyAlignment="true" applyProtection="true">
      <alignment horizontal="center" vertical="top" textRotation="0" wrapText="true" indent="0" shrinkToFit="false"/>
      <protection locked="false" hidden="false"/>
    </xf>
    <xf numFmtId="167" fontId="13" fillId="0" borderId="5" xfId="0" applyFont="true" applyBorder="true" applyAlignment="true" applyProtection="false">
      <alignment horizontal="center" vertical="top" textRotation="0" wrapText="true" indent="0" shrinkToFit="false"/>
      <protection locked="true" hidden="false"/>
    </xf>
    <xf numFmtId="168" fontId="0" fillId="0" borderId="5" xfId="0" applyFont="false" applyBorder="true" applyAlignment="true" applyProtection="true">
      <alignment horizontal="center" vertical="top" textRotation="0" wrapText="false" indent="0" shrinkToFit="false"/>
      <protection locked="false" hidden="false"/>
    </xf>
    <xf numFmtId="164" fontId="13" fillId="0" borderId="5" xfId="0" applyFont="true" applyBorder="true" applyAlignment="true" applyProtection="true">
      <alignment horizontal="center" vertical="top" textRotation="0" wrapText="false" indent="0" shrinkToFit="false"/>
      <protection locked="false" hidden="false"/>
    </xf>
    <xf numFmtId="164" fontId="0" fillId="0" borderId="5" xfId="0" applyFont="false" applyBorder="true" applyAlignment="false" applyProtection="true">
      <alignment horizontal="general" vertical="bottom" textRotation="0" wrapText="false" indent="0" shrinkToFit="false"/>
      <protection locked="false" hidden="false"/>
    </xf>
    <xf numFmtId="164" fontId="0" fillId="0" borderId="5" xfId="0" applyFont="false" applyBorder="true" applyAlignment="true" applyProtection="true">
      <alignment horizontal="center" vertical="top" textRotation="0" wrapText="false" indent="0" shrinkToFit="false"/>
      <protection locked="false" hidden="false"/>
    </xf>
    <xf numFmtId="167" fontId="0" fillId="0" borderId="19" xfId="0" applyFont="false" applyBorder="true" applyAlignment="true" applyProtection="false">
      <alignment horizontal="center" vertical="top" textRotation="0" wrapText="false" indent="0" shrinkToFit="false"/>
      <protection locked="true" hidden="false"/>
    </xf>
    <xf numFmtId="164" fontId="0" fillId="0" borderId="19" xfId="0" applyFont="true" applyBorder="true" applyAlignment="true" applyProtection="true">
      <alignment horizontal="general" vertical="top" textRotation="0" wrapText="true" indent="0" shrinkToFit="false"/>
      <protection locked="false" hidden="false"/>
    </xf>
    <xf numFmtId="164" fontId="13" fillId="0" borderId="19" xfId="0" applyFont="true" applyBorder="true" applyAlignment="true" applyProtection="true">
      <alignment horizontal="center" vertical="top" textRotation="0" wrapText="true" indent="0" shrinkToFit="false"/>
      <protection locked="false" hidden="false"/>
    </xf>
    <xf numFmtId="164" fontId="0" fillId="0" borderId="19" xfId="0" applyFont="true" applyBorder="true" applyAlignment="true" applyProtection="true">
      <alignment horizontal="center" vertical="top" textRotation="0" wrapText="true" indent="0" shrinkToFit="false"/>
      <protection locked="false" hidden="false"/>
    </xf>
    <xf numFmtId="164" fontId="13" fillId="0" borderId="19" xfId="0" applyFont="true" applyBorder="true" applyAlignment="true" applyProtection="false">
      <alignment horizontal="center" vertical="top" textRotation="0" wrapText="true" indent="0" shrinkToFit="false"/>
      <protection locked="true" hidden="false"/>
    </xf>
    <xf numFmtId="168" fontId="0" fillId="0" borderId="19" xfId="0" applyFont="false" applyBorder="true" applyAlignment="true" applyProtection="true">
      <alignment horizontal="center" vertical="top" textRotation="0" wrapText="false" indent="0" shrinkToFit="false"/>
      <protection locked="false" hidden="false"/>
    </xf>
    <xf numFmtId="164" fontId="0" fillId="0" borderId="19" xfId="0" applyFont="false" applyBorder="true" applyAlignment="true" applyProtection="true">
      <alignment horizontal="center" vertical="top" textRotation="0" wrapText="false" indent="0" shrinkToFit="false"/>
      <protection locked="false" hidden="false"/>
    </xf>
    <xf numFmtId="164" fontId="13" fillId="0" borderId="19" xfId="0" applyFont="true" applyBorder="true" applyAlignment="true" applyProtection="true">
      <alignment horizontal="center" vertical="top" textRotation="0" wrapText="false" indent="0" shrinkToFit="false"/>
      <protection locked="false" hidden="false"/>
    </xf>
    <xf numFmtId="164" fontId="0" fillId="0" borderId="19" xfId="0" applyFont="true" applyBorder="true" applyAlignment="false" applyProtection="true">
      <alignment horizontal="general" vertical="bottom" textRotation="0" wrapText="false" indent="0" shrinkToFit="false"/>
      <protection locked="false" hidden="false"/>
    </xf>
    <xf numFmtId="164" fontId="0" fillId="0" borderId="20" xfId="0" applyFont="true" applyBorder="true" applyAlignment="true" applyProtection="true">
      <alignment horizontal="general" vertical="center" textRotation="0" wrapText="true" indent="0" shrinkToFit="false"/>
      <protection locked="false" hidden="false"/>
    </xf>
    <xf numFmtId="164" fontId="0" fillId="0" borderId="5" xfId="0" applyFont="true" applyBorder="true" applyAlignment="true" applyProtection="true">
      <alignment horizontal="general" vertical="center" textRotation="0" wrapText="true" indent="0" shrinkToFit="false"/>
      <protection locked="false" hidden="false"/>
    </xf>
    <xf numFmtId="164" fontId="13" fillId="0" borderId="21" xfId="0" applyFont="true" applyBorder="true" applyAlignment="true" applyProtection="true">
      <alignment horizontal="center" vertical="center" textRotation="0" wrapText="true" indent="0" shrinkToFit="false"/>
      <protection locked="false" hidden="false"/>
    </xf>
    <xf numFmtId="164" fontId="0" fillId="0" borderId="5" xfId="0" applyFont="true" applyBorder="true" applyAlignment="true" applyProtection="true">
      <alignment horizontal="center" vertical="center" textRotation="0" wrapText="true" indent="0" shrinkToFit="false"/>
      <protection locked="false" hidden="false"/>
    </xf>
    <xf numFmtId="167" fontId="13" fillId="0" borderId="5" xfId="0" applyFont="true" applyBorder="true" applyAlignment="true" applyProtection="false">
      <alignment horizontal="center" vertical="center" textRotation="0" wrapText="true" indent="0" shrinkToFit="false"/>
      <protection locked="true" hidden="false"/>
    </xf>
    <xf numFmtId="164" fontId="0" fillId="0" borderId="0" xfId="0" applyFont="true" applyBorder="false" applyAlignment="true" applyProtection="true">
      <alignment horizontal="center" vertical="center" textRotation="0" wrapText="true" indent="0" shrinkToFit="false"/>
      <protection locked="false" hidden="false"/>
    </xf>
    <xf numFmtId="168" fontId="0" fillId="0" borderId="1" xfId="0" applyFont="true" applyBorder="true" applyAlignment="true" applyProtection="true">
      <alignment horizontal="center" vertical="center" textRotation="0" wrapText="false" indent="0" shrinkToFit="false"/>
      <protection locked="false" hidden="false"/>
    </xf>
    <xf numFmtId="164" fontId="0" fillId="0" borderId="5" xfId="0" applyFont="false" applyBorder="true" applyAlignment="true" applyProtection="true">
      <alignment horizontal="center" vertical="center" textRotation="0" wrapText="false" indent="0" shrinkToFit="false"/>
      <protection locked="false" hidden="false"/>
    </xf>
    <xf numFmtId="164" fontId="13" fillId="0" borderId="5" xfId="0" applyFont="true" applyBorder="true" applyAlignment="true" applyProtection="true">
      <alignment horizontal="center" vertical="center" textRotation="0" wrapText="false" indent="0" shrinkToFit="false"/>
      <protection locked="false" hidden="false"/>
    </xf>
    <xf numFmtId="164" fontId="0" fillId="0" borderId="5" xfId="0" applyFont="true" applyBorder="true" applyAlignment="true" applyProtection="true">
      <alignment horizontal="general" vertical="center" textRotation="0" wrapText="false" indent="0" shrinkToFit="false"/>
      <protection locked="false" hidden="false"/>
    </xf>
    <xf numFmtId="164" fontId="0" fillId="0" borderId="0" xfId="0" applyFont="false" applyBorder="false" applyAlignment="true" applyProtection="true">
      <alignment horizontal="general" vertical="center" textRotation="0" wrapText="false" indent="0" shrinkToFit="false"/>
      <protection locked="false" hidden="false"/>
    </xf>
    <xf numFmtId="164" fontId="0" fillId="0" borderId="9" xfId="0" applyFont="true" applyBorder="true" applyAlignment="true" applyProtection="true">
      <alignment horizontal="general" vertical="top" textRotation="0" wrapText="true" indent="0" shrinkToFit="false"/>
      <protection locked="false" hidden="false"/>
    </xf>
    <xf numFmtId="164" fontId="0" fillId="0" borderId="22" xfId="0" applyFont="true" applyBorder="true" applyAlignment="true" applyProtection="true">
      <alignment horizontal="general" vertical="top" textRotation="0" wrapText="true" indent="0" shrinkToFit="false"/>
      <protection locked="false" hidden="false"/>
    </xf>
    <xf numFmtId="164" fontId="13" fillId="0" borderId="22" xfId="0" applyFont="true" applyBorder="true" applyAlignment="true" applyProtection="true">
      <alignment horizontal="center" vertical="top" textRotation="0" wrapText="true" indent="0" shrinkToFit="false"/>
      <protection locked="false" hidden="false"/>
    </xf>
    <xf numFmtId="164" fontId="0" fillId="0" borderId="22" xfId="0" applyFont="true" applyBorder="true" applyAlignment="true" applyProtection="true">
      <alignment horizontal="center" vertical="top" textRotation="0" wrapText="true" indent="0" shrinkToFit="false"/>
      <protection locked="false" hidden="false"/>
    </xf>
    <xf numFmtId="167" fontId="13" fillId="0" borderId="22" xfId="0" applyFont="true" applyBorder="true" applyAlignment="true" applyProtection="false">
      <alignment horizontal="center" vertical="top" textRotation="0" wrapText="true" indent="0" shrinkToFit="false"/>
      <protection locked="true" hidden="false"/>
    </xf>
    <xf numFmtId="164" fontId="0" fillId="0" borderId="22" xfId="0" applyFont="false" applyBorder="true" applyAlignment="true" applyProtection="true">
      <alignment horizontal="center" vertical="top" textRotation="0" wrapText="false" indent="0" shrinkToFit="false"/>
      <protection locked="false" hidden="false"/>
    </xf>
    <xf numFmtId="164" fontId="0" fillId="0" borderId="22" xfId="0" applyFont="true" applyBorder="true" applyAlignment="true" applyProtection="true">
      <alignment horizontal="general" vertical="bottom" textRotation="0" wrapText="true" indent="0" shrinkToFit="false"/>
      <protection locked="false" hidden="false"/>
    </xf>
    <xf numFmtId="164" fontId="0" fillId="0" borderId="3" xfId="0" applyFont="true" applyBorder="true" applyAlignment="true" applyProtection="true">
      <alignment horizontal="general" vertical="center" textRotation="0" wrapText="true" indent="0" shrinkToFit="false"/>
      <protection locked="false" hidden="false"/>
    </xf>
    <xf numFmtId="164" fontId="0" fillId="0" borderId="19" xfId="0" applyFont="true" applyBorder="true" applyAlignment="true" applyProtection="true">
      <alignment horizontal="general" vertical="center" textRotation="0" wrapText="true" indent="0" shrinkToFit="false"/>
      <protection locked="false" hidden="false"/>
    </xf>
    <xf numFmtId="164" fontId="0" fillId="0" borderId="3" xfId="0" applyFont="true" applyBorder="true" applyAlignment="true" applyProtection="true">
      <alignment horizontal="general" vertical="top" textRotation="0" wrapText="true" indent="0" shrinkToFit="false"/>
      <protection locked="false" hidden="false"/>
    </xf>
    <xf numFmtId="164" fontId="0" fillId="0" borderId="19" xfId="0" applyFont="true" applyBorder="true" applyAlignment="true" applyProtection="true">
      <alignment horizontal="general" vertical="bottom" textRotation="0" wrapText="true" indent="0" shrinkToFit="false"/>
      <protection locked="false" hidden="false"/>
    </xf>
    <xf numFmtId="164" fontId="14" fillId="0" borderId="5" xfId="0" applyFont="true" applyBorder="true" applyAlignment="false" applyProtection="false">
      <alignment horizontal="general" vertical="bottom" textRotation="0" wrapText="false" indent="0" shrinkToFit="false"/>
      <protection locked="true" hidden="false"/>
    </xf>
    <xf numFmtId="164" fontId="14" fillId="0" borderId="21" xfId="0" applyFont="true" applyBorder="true" applyAlignment="false" applyProtection="false">
      <alignment horizontal="general" vertical="bottom" textRotation="0" wrapText="false" indent="0" shrinkToFit="false"/>
      <protection locked="true" hidden="false"/>
    </xf>
    <xf numFmtId="164" fontId="14" fillId="0" borderId="5" xfId="0" applyFont="true" applyBorder="true" applyAlignment="true" applyProtection="false">
      <alignment horizontal="general" vertical="bottom" textRotation="0" wrapText="true" indent="0" shrinkToFit="false"/>
      <protection locked="true" hidden="false"/>
    </xf>
    <xf numFmtId="165" fontId="0" fillId="0" borderId="5" xfId="0" applyFont="false" applyBorder="true" applyAlignment="true" applyProtection="true">
      <alignment horizontal="center" vertical="top" textRotation="0" wrapText="false" indent="0" shrinkToFit="false"/>
      <protection locked="false" hidden="false"/>
    </xf>
    <xf numFmtId="164" fontId="0" fillId="0" borderId="21" xfId="0" applyFont="true" applyBorder="true" applyAlignment="true" applyProtection="true">
      <alignment horizontal="general" vertical="top" textRotation="0" wrapText="true" indent="0" shrinkToFit="false"/>
      <protection locked="false" hidden="false"/>
    </xf>
    <xf numFmtId="164" fontId="15" fillId="0" borderId="5" xfId="0" applyFont="true" applyBorder="true" applyAlignment="true" applyProtection="true">
      <alignment horizontal="left" vertical="top" textRotation="0" wrapText="true" indent="0" shrinkToFit="false"/>
      <protection locked="false" hidden="false"/>
    </xf>
    <xf numFmtId="164" fontId="11" fillId="0" borderId="5" xfId="0" applyFont="true" applyBorder="true" applyAlignment="true" applyProtection="true">
      <alignment horizontal="general" vertical="top" textRotation="0" wrapText="false" indent="0" shrinkToFit="false"/>
      <protection locked="false" hidden="false"/>
    </xf>
    <xf numFmtId="164" fontId="11" fillId="0" borderId="19" xfId="0" applyFont="true" applyBorder="true" applyAlignment="true" applyProtection="true">
      <alignment horizontal="general" vertical="top" textRotation="0" wrapText="true" indent="0" shrinkToFit="false"/>
      <protection locked="false" hidden="false"/>
    </xf>
    <xf numFmtId="164" fontId="13" fillId="0" borderId="3" xfId="0" applyFont="true" applyBorder="true" applyAlignment="true" applyProtection="true">
      <alignment horizontal="center" vertical="top" textRotation="0" wrapText="true" indent="0" shrinkToFit="false"/>
      <protection locked="false" hidden="false"/>
    </xf>
    <xf numFmtId="164" fontId="11" fillId="0" borderId="19" xfId="0" applyFont="true" applyBorder="true" applyAlignment="true" applyProtection="true">
      <alignment horizontal="general" vertical="bottom" textRotation="0" wrapText="true" indent="0" shrinkToFit="false"/>
      <protection locked="false" hidden="false"/>
    </xf>
    <xf numFmtId="164" fontId="15" fillId="0" borderId="1" xfId="0" applyFont="true" applyBorder="true" applyAlignment="true" applyProtection="true">
      <alignment horizontal="general" vertical="top" textRotation="0" wrapText="true" indent="0" shrinkToFit="false"/>
      <protection locked="false" hidden="false"/>
    </xf>
    <xf numFmtId="169" fontId="0" fillId="0" borderId="19" xfId="0" applyFont="false" applyBorder="true" applyAlignment="true" applyProtection="true">
      <alignment horizontal="center" vertical="top" textRotation="0" wrapText="false" indent="0" shrinkToFit="false"/>
      <protection locked="false" hidden="false"/>
    </xf>
    <xf numFmtId="165" fontId="0" fillId="0" borderId="19" xfId="0" applyFont="false" applyBorder="true" applyAlignment="true" applyProtection="true">
      <alignment horizontal="center" vertical="top" textRotation="0" wrapText="false" indent="0" shrinkToFit="false"/>
      <protection locked="false" hidden="false"/>
    </xf>
    <xf numFmtId="164" fontId="15" fillId="0" borderId="19" xfId="0" applyFont="true" applyBorder="true" applyAlignment="true" applyProtection="true">
      <alignment horizontal="general" vertical="bottom" textRotation="0" wrapText="true" indent="0" shrinkToFit="false"/>
      <protection locked="false" hidden="false"/>
    </xf>
    <xf numFmtId="164" fontId="0" fillId="0" borderId="5" xfId="0" applyFont="true" applyBorder="true" applyAlignment="true" applyProtection="true">
      <alignment horizontal="general" vertical="bottom" textRotation="0" wrapText="true" indent="0" shrinkToFit="false"/>
      <protection locked="false" hidden="false"/>
    </xf>
    <xf numFmtId="164" fontId="0" fillId="0" borderId="0" xfId="0" applyFont="false" applyBorder="false" applyAlignment="true" applyProtection="false">
      <alignment horizontal="center" vertical="top" textRotation="0" wrapText="false" indent="0" shrinkToFit="false"/>
      <protection locked="true" hidden="false"/>
    </xf>
    <xf numFmtId="164" fontId="0" fillId="0" borderId="0" xfId="0" applyFont="false" applyBorder="false" applyAlignment="true" applyProtection="true">
      <alignment horizontal="general" vertical="top" textRotation="0" wrapText="true" indent="0" shrinkToFit="false"/>
      <protection locked="false" hidden="false"/>
    </xf>
    <xf numFmtId="164" fontId="13" fillId="0" borderId="0" xfId="0" applyFont="true" applyBorder="false" applyAlignment="true" applyProtection="true">
      <alignment horizontal="center" vertical="top" textRotation="0" wrapText="true" indent="0" shrinkToFit="false"/>
      <protection locked="false" hidden="false"/>
    </xf>
    <xf numFmtId="164" fontId="0" fillId="0" borderId="0" xfId="0" applyFont="false" applyBorder="false" applyAlignment="true" applyProtection="true">
      <alignment horizontal="center" vertical="top" textRotation="0" wrapText="true" indent="0" shrinkToFit="false"/>
      <protection locked="false" hidden="false"/>
    </xf>
    <xf numFmtId="164" fontId="13" fillId="0" borderId="0" xfId="0" applyFont="true" applyBorder="false" applyAlignment="true" applyProtection="false">
      <alignment horizontal="center" vertical="top" textRotation="0" wrapText="true" indent="0" shrinkToFit="false"/>
      <protection locked="true" hidden="false"/>
    </xf>
    <xf numFmtId="164" fontId="0" fillId="0" borderId="0" xfId="0" applyFont="false" applyBorder="false" applyAlignment="true" applyProtection="true">
      <alignment horizontal="center" vertical="top" textRotation="0" wrapText="false" indent="0" shrinkToFit="false"/>
      <protection locked="false" hidden="false"/>
    </xf>
    <xf numFmtId="164" fontId="13" fillId="0" borderId="0" xfId="0" applyFont="true" applyBorder="false" applyAlignment="true" applyProtection="true">
      <alignment horizontal="center" vertical="top" textRotation="0" wrapText="false" indent="0" shrinkToFit="false"/>
      <protection locked="false" hidden="false"/>
    </xf>
    <xf numFmtId="164" fontId="0" fillId="0" borderId="0" xfId="0" applyFont="false" applyBorder="false" applyAlignment="true" applyProtection="true">
      <alignment horizontal="left" vertical="center" textRotation="0" wrapText="false" indent="0" shrinkToFit="false"/>
      <protection locked="false" hidden="false"/>
    </xf>
    <xf numFmtId="164" fontId="9" fillId="7" borderId="5" xfId="0" applyFont="true" applyBorder="true" applyAlignment="true" applyProtection="false">
      <alignment horizontal="left" vertical="center" textRotation="0" wrapText="true" indent="0" shrinkToFit="false"/>
      <protection locked="true" hidden="false"/>
    </xf>
    <xf numFmtId="167" fontId="0" fillId="0" borderId="5" xfId="0" applyFont="false" applyBorder="true" applyAlignment="true" applyProtection="false">
      <alignment horizontal="left" vertical="center" textRotation="0" wrapText="false" indent="0" shrinkToFit="false"/>
      <protection locked="true" hidden="false"/>
    </xf>
    <xf numFmtId="167" fontId="0" fillId="0" borderId="20" xfId="0" applyFont="false" applyBorder="true" applyAlignment="true" applyProtection="false">
      <alignment horizontal="left" vertical="center" textRotation="0" wrapText="false" indent="0" shrinkToFit="false"/>
      <protection locked="true" hidden="false"/>
    </xf>
    <xf numFmtId="164" fontId="0" fillId="0" borderId="5" xfId="0" applyFont="true" applyBorder="true" applyAlignment="false" applyProtection="false">
      <alignment horizontal="general" vertical="bottom" textRotation="0" wrapText="false" indent="0" shrinkToFit="false"/>
      <protection locked="true" hidden="false"/>
    </xf>
    <xf numFmtId="164" fontId="0" fillId="0" borderId="21" xfId="0" applyFont="true" applyBorder="true" applyAlignment="false" applyProtection="false">
      <alignment horizontal="general" vertical="bottom" textRotation="0" wrapText="false" indent="0" shrinkToFit="false"/>
      <protection locked="true" hidden="false"/>
    </xf>
    <xf numFmtId="169" fontId="0" fillId="0" borderId="5" xfId="0" applyFont="false" applyBorder="true" applyAlignment="false" applyProtection="false">
      <alignment horizontal="general" vertical="bottom" textRotation="0" wrapText="false" indent="0" shrinkToFit="false"/>
      <protection locked="true" hidden="false"/>
    </xf>
    <xf numFmtId="164" fontId="0" fillId="0" borderId="1" xfId="0" applyFont="false" applyBorder="true" applyAlignment="true" applyProtection="false">
      <alignment horizontal="left" vertical="center" textRotation="0" wrapText="false" indent="0" shrinkToFit="false"/>
      <protection locked="true" hidden="false"/>
    </xf>
    <xf numFmtId="164" fontId="0" fillId="0" borderId="19" xfId="0" applyFont="true" applyBorder="true" applyAlignment="false" applyProtection="false">
      <alignment horizontal="general" vertical="bottom" textRotation="0" wrapText="false" indent="0" shrinkToFit="false"/>
      <protection locked="true" hidden="false"/>
    </xf>
    <xf numFmtId="164" fontId="0" fillId="0" borderId="3" xfId="0" applyFont="true" applyBorder="true" applyAlignment="false" applyProtection="false">
      <alignment horizontal="general" vertical="bottom" textRotation="0" wrapText="false" indent="0" shrinkToFit="false"/>
      <protection locked="true" hidden="false"/>
    </xf>
    <xf numFmtId="169" fontId="0" fillId="0" borderId="19" xfId="0" applyFont="false" applyBorder="true" applyAlignment="false" applyProtection="false">
      <alignment horizontal="general" vertical="bottom" textRotation="0" wrapText="false" indent="0" shrinkToFit="false"/>
      <protection locked="true" hidden="false"/>
    </xf>
    <xf numFmtId="164" fontId="0" fillId="0" borderId="5" xfId="0" applyFont="true" applyBorder="true" applyAlignment="true" applyProtection="false">
      <alignment horizontal="general" vertical="bottom" textRotation="0" wrapText="true" indent="0" shrinkToFit="false"/>
      <protection locked="true" hidden="false"/>
    </xf>
    <xf numFmtId="165" fontId="0" fillId="0" borderId="5" xfId="0" applyFont="false" applyBorder="tru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left" vertical="center"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readingOrder="1"/>
      <protection locked="true" hidden="false"/>
    </xf>
    <xf numFmtId="164" fontId="0" fillId="0" borderId="0" xfId="0" applyFont="false" applyBorder="false" applyAlignment="true" applyProtection="true">
      <alignment horizontal="general" vertical="top" textRotation="0" wrapText="false" indent="0" shrinkToFit="false"/>
      <protection locked="false" hidden="false"/>
    </xf>
    <xf numFmtId="164" fontId="0" fillId="0" borderId="0" xfId="0" applyFont="false" applyBorder="false" applyAlignment="true" applyProtection="true">
      <alignment horizontal="left" vertical="top" textRotation="0" wrapText="true" indent="0" shrinkToFit="false"/>
      <protection locked="false" hidden="false"/>
    </xf>
    <xf numFmtId="164" fontId="9" fillId="0" borderId="5" xfId="0" applyFont="true" applyBorder="true" applyAlignment="true" applyProtection="false">
      <alignment horizontal="center" vertical="center" textRotation="0" wrapText="true" indent="0" shrinkToFit="false"/>
      <protection locked="true" hidden="false"/>
    </xf>
    <xf numFmtId="164" fontId="9" fillId="0" borderId="5" xfId="0" applyFont="true" applyBorder="true" applyAlignment="true" applyProtection="false">
      <alignment horizontal="left" vertical="top" textRotation="0" wrapText="true" indent="0" shrinkToFit="false"/>
      <protection locked="true" hidden="false"/>
    </xf>
    <xf numFmtId="164" fontId="0" fillId="0" borderId="5" xfId="0" applyFont="false" applyBorder="true" applyAlignment="true" applyProtection="true">
      <alignment horizontal="left" vertical="top" textRotation="0" wrapText="true" indent="0" shrinkToFit="false"/>
      <protection locked="false" hidden="false"/>
    </xf>
    <xf numFmtId="164" fontId="0" fillId="0" borderId="0" xfId="0" applyFont="false" applyBorder="false" applyAlignment="true" applyProtection="false">
      <alignment horizontal="center" vertical="center" textRotation="0" wrapText="false" indent="0" shrinkToFit="false"/>
      <protection locked="true" hidden="false"/>
    </xf>
    <xf numFmtId="164" fontId="0" fillId="0" borderId="0" xfId="0" applyFont="false" applyBorder="false" applyAlignment="true" applyProtection="false">
      <alignment horizontal="general" vertical="center" textRotation="0" wrapText="false" indent="0" shrinkToFit="false"/>
      <protection locked="true" hidden="false"/>
    </xf>
    <xf numFmtId="167" fontId="13" fillId="0" borderId="5" xfId="0" applyFont="true" applyBorder="true" applyAlignment="true" applyProtection="false">
      <alignment horizontal="center" vertical="top" textRotation="0" wrapText="false" indent="0" shrinkToFit="false"/>
      <protection locked="true" hidden="false"/>
    </xf>
    <xf numFmtId="165" fontId="13" fillId="0" borderId="5" xfId="0" applyFont="true" applyBorder="true" applyAlignment="true" applyProtection="true">
      <alignment horizontal="center" vertical="top" textRotation="0" wrapText="false" indent="0" shrinkToFit="false"/>
      <protection locked="false" hidden="false"/>
    </xf>
    <xf numFmtId="168" fontId="0" fillId="0" borderId="5" xfId="0" applyFont="true" applyBorder="true" applyAlignment="true" applyProtection="true">
      <alignment horizontal="center" vertical="top" textRotation="0" wrapText="false" indent="0" shrinkToFit="false"/>
      <protection locked="false" hidden="false"/>
    </xf>
    <xf numFmtId="164" fontId="0" fillId="0" borderId="5" xfId="0" applyFont="true" applyBorder="true" applyAlignment="true" applyProtection="true">
      <alignment horizontal="center" vertical="top" textRotation="0" wrapText="false" indent="0" shrinkToFit="false"/>
      <protection locked="false" hidden="false"/>
    </xf>
    <xf numFmtId="169" fontId="0" fillId="0" borderId="5" xfId="0" applyFont="false" applyBorder="true" applyAlignment="true" applyProtection="true">
      <alignment horizontal="center" vertical="top" textRotation="0" wrapText="false" indent="0" shrinkToFit="false"/>
      <protection locked="false" hidden="false"/>
    </xf>
    <xf numFmtId="164" fontId="15" fillId="0" borderId="5" xfId="0" applyFont="true" applyBorder="true" applyAlignment="true" applyProtection="true">
      <alignment horizontal="general" vertical="bottom" textRotation="0" wrapText="true" indent="0" shrinkToFit="false"/>
      <protection locked="false" hidden="false"/>
    </xf>
    <xf numFmtId="167" fontId="13" fillId="0" borderId="19" xfId="0" applyFont="true" applyBorder="true" applyAlignment="true" applyProtection="false">
      <alignment horizontal="center" vertical="top" textRotation="0" wrapText="false" indent="0" shrinkToFit="false"/>
      <protection locked="true" hidden="false"/>
    </xf>
    <xf numFmtId="164" fontId="0" fillId="0" borderId="19" xfId="0" applyFont="true" applyBorder="true" applyAlignment="true" applyProtection="true">
      <alignment horizontal="center" vertical="top" textRotation="0" wrapText="false" indent="0" shrinkToFit="false"/>
      <protection locked="false" hidden="false"/>
    </xf>
    <xf numFmtId="164" fontId="11" fillId="0" borderId="5" xfId="0" applyFont="true" applyBorder="true" applyAlignment="true" applyProtection="true">
      <alignment horizontal="general" vertical="bottom" textRotation="0" wrapText="true" indent="0" shrinkToFit="false"/>
      <protection locked="false" hidden="false"/>
    </xf>
    <xf numFmtId="164" fontId="11" fillId="0" borderId="5" xfId="0" applyFont="true" applyBorder="true" applyAlignment="false" applyProtection="true">
      <alignment horizontal="general" vertical="bottom" textRotation="0" wrapText="false" indent="0" shrinkToFit="false"/>
      <protection locked="false" hidden="false"/>
    </xf>
    <xf numFmtId="164" fontId="13" fillId="0" borderId="1" xfId="0" applyFont="true" applyBorder="true" applyAlignment="true" applyProtection="true">
      <alignment horizontal="center" vertical="top" textRotation="0" wrapText="true" indent="0" shrinkToFit="false"/>
      <protection locked="false" hidden="false"/>
    </xf>
    <xf numFmtId="164" fontId="0" fillId="0" borderId="3" xfId="0" applyFont="true" applyBorder="true" applyAlignment="true" applyProtection="true">
      <alignment horizontal="center" vertical="top" textRotation="0" wrapText="false" indent="0" shrinkToFit="false"/>
      <protection locked="false" hidden="false"/>
    </xf>
    <xf numFmtId="168" fontId="0" fillId="0" borderId="21" xfId="0" applyFont="false" applyBorder="true" applyAlignment="true" applyProtection="true">
      <alignment horizontal="center" vertical="top" textRotation="0" wrapText="false" indent="0" shrinkToFit="false"/>
      <protection locked="false" hidden="false"/>
    </xf>
    <xf numFmtId="164" fontId="17" fillId="6" borderId="5" xfId="0" applyFont="true" applyBorder="true" applyAlignment="true" applyProtection="false">
      <alignment horizontal="center" vertical="top" textRotation="0" wrapText="false" indent="0" shrinkToFit="false"/>
      <protection locked="true" hidden="false"/>
    </xf>
    <xf numFmtId="164" fontId="9" fillId="7" borderId="5" xfId="0" applyFont="true" applyBorder="true" applyAlignment="true" applyProtection="false">
      <alignment horizontal="center" vertical="top" textRotation="0" wrapText="true" indent="0" shrinkToFit="false"/>
      <protection locked="true" hidden="false"/>
    </xf>
    <xf numFmtId="164" fontId="9" fillId="7" borderId="5" xfId="0" applyFont="true" applyBorder="true" applyAlignment="true" applyProtection="true">
      <alignment horizontal="center" vertical="top" textRotation="0" wrapText="true" indent="0" shrinkToFit="false"/>
      <protection locked="false" hidden="false"/>
    </xf>
    <xf numFmtId="164" fontId="13" fillId="0" borderId="5" xfId="0" applyFont="true" applyBorder="true" applyAlignment="true" applyProtection="true">
      <alignment horizontal="general" vertical="top" textRotation="0" wrapText="true" indent="0" shrinkToFit="false"/>
      <protection locked="false" hidden="false"/>
    </xf>
    <xf numFmtId="164" fontId="11" fillId="0" borderId="5" xfId="0" applyFont="true" applyBorder="true" applyAlignment="true" applyProtection="true">
      <alignment horizontal="left" vertical="top" textRotation="0" wrapText="true" indent="0" shrinkToFit="false"/>
      <protection locked="false" hidden="false"/>
    </xf>
    <xf numFmtId="164" fontId="11" fillId="0" borderId="5" xfId="0" applyFont="true" applyBorder="true" applyAlignment="true" applyProtection="true">
      <alignment horizontal="general" vertical="top" textRotation="0" wrapText="true" indent="0" shrinkToFit="false"/>
      <protection locked="false" hidden="false"/>
    </xf>
    <xf numFmtId="164" fontId="11" fillId="0" borderId="19" xfId="0" applyFont="true" applyBorder="true" applyAlignment="true" applyProtection="true">
      <alignment horizontal="left" vertical="top" textRotation="0" wrapText="true" indent="0" shrinkToFit="false"/>
      <protection locked="false" hidden="false"/>
    </xf>
    <xf numFmtId="164" fontId="0" fillId="0" borderId="1" xfId="0" applyFont="true" applyBorder="true" applyAlignment="true" applyProtection="true">
      <alignment horizontal="general" vertical="top" textRotation="0" wrapText="true" indent="0" shrinkToFit="false"/>
      <protection locked="false" hidden="false"/>
    </xf>
    <xf numFmtId="164" fontId="0" fillId="0" borderId="3" xfId="0" applyFont="true" applyBorder="true" applyAlignment="true" applyProtection="true">
      <alignment horizontal="center" vertical="top" textRotation="0" wrapText="true" indent="0" shrinkToFit="false"/>
      <protection locked="false" hidden="false"/>
    </xf>
    <xf numFmtId="164" fontId="0" fillId="0" borderId="5" xfId="0" applyFont="true" applyBorder="true" applyAlignment="true" applyProtection="false">
      <alignment horizontal="left" vertical="top" textRotation="0" wrapText="true" indent="0" shrinkToFit="false"/>
      <protection locked="true" hidden="false"/>
    </xf>
    <xf numFmtId="164" fontId="0" fillId="0" borderId="20" xfId="0" applyFont="true" applyBorder="true" applyAlignment="true" applyProtection="true">
      <alignment horizontal="general" vertical="top" textRotation="0" wrapText="true" indent="0" shrinkToFit="false"/>
      <protection locked="false" hidden="false"/>
    </xf>
    <xf numFmtId="164" fontId="0" fillId="0" borderId="21" xfId="0" applyFont="true" applyBorder="true" applyAlignment="true" applyProtection="true">
      <alignment horizontal="center" vertical="top" textRotation="0" wrapText="true" indent="0" shrinkToFit="false"/>
      <protection locked="false" hidden="false"/>
    </xf>
    <xf numFmtId="164" fontId="0" fillId="0" borderId="19" xfId="0" applyFont="true" applyBorder="true" applyAlignment="true" applyProtection="false">
      <alignment horizontal="left" vertical="top" textRotation="0" wrapText="true" indent="0" shrinkToFit="false"/>
      <protection locked="true" hidden="false"/>
    </xf>
    <xf numFmtId="164" fontId="0" fillId="0" borderId="5" xfId="0" applyFont="true" applyBorder="true" applyAlignment="true" applyProtection="false">
      <alignment horizontal="left" vertical="top" textRotation="0" wrapText="false" indent="0" shrinkToFit="false"/>
      <protection locked="true" hidden="false"/>
    </xf>
    <xf numFmtId="164" fontId="0" fillId="0" borderId="23" xfId="0" applyFont="true" applyBorder="true" applyAlignment="true" applyProtection="true">
      <alignment horizontal="general" vertical="top" textRotation="0" wrapText="true" indent="0" shrinkToFit="false"/>
      <protection locked="false" hidden="false"/>
    </xf>
    <xf numFmtId="164" fontId="0" fillId="0" borderId="1" xfId="0" applyFont="false" applyBorder="true" applyAlignment="true" applyProtection="true">
      <alignment horizontal="center" vertical="top" textRotation="0" wrapText="false" indent="0" shrinkToFit="false"/>
      <protection locked="false" hidden="false"/>
    </xf>
    <xf numFmtId="164" fontId="0" fillId="0" borderId="3" xfId="0" applyFont="true" applyBorder="true" applyAlignment="true" applyProtection="true">
      <alignment horizontal="left" vertical="top" textRotation="0" wrapText="true" indent="0" shrinkToFit="false"/>
      <protection locked="false" hidden="false"/>
    </xf>
    <xf numFmtId="164" fontId="13" fillId="0" borderId="20" xfId="0" applyFont="true" applyBorder="true" applyAlignment="true" applyProtection="true">
      <alignment horizontal="center" vertical="top" textRotation="0" wrapText="true" indent="0" shrinkToFit="false"/>
      <protection locked="false" hidden="false"/>
    </xf>
    <xf numFmtId="164" fontId="0" fillId="0" borderId="20" xfId="0" applyFont="false" applyBorder="true" applyAlignment="true" applyProtection="true">
      <alignment horizontal="center" vertical="top" textRotation="0" wrapText="false" indent="0" shrinkToFit="false"/>
      <protection locked="false" hidden="false"/>
    </xf>
    <xf numFmtId="164" fontId="0" fillId="0" borderId="21" xfId="0" applyFont="true" applyBorder="true" applyAlignment="true" applyProtection="true">
      <alignment horizontal="general" vertical="bottom" textRotation="0" wrapText="true" indent="0" shrinkToFit="false"/>
      <protection locked="false" hidden="false"/>
    </xf>
    <xf numFmtId="164" fontId="13" fillId="0" borderId="5" xfId="0" applyFont="true" applyBorder="true" applyAlignment="true" applyProtection="false">
      <alignment horizontal="right" vertical="center" textRotation="0" wrapText="false" indent="0" shrinkToFit="false"/>
      <protection locked="true" hidden="false"/>
    </xf>
    <xf numFmtId="167" fontId="0" fillId="0" borderId="5" xfId="0" applyFont="false" applyBorder="true" applyAlignment="true" applyProtection="false">
      <alignment horizontal="right" vertical="center" textRotation="0" wrapText="false" indent="0" shrinkToFit="false"/>
      <protection locked="true" hidden="false"/>
    </xf>
    <xf numFmtId="164" fontId="0" fillId="0" borderId="20" xfId="0" applyFont="false" applyBorder="true" applyAlignment="true" applyProtection="false">
      <alignment horizontal="right" vertical="center" textRotation="0" wrapText="false" indent="0" shrinkToFit="false"/>
      <protection locked="true" hidden="false"/>
    </xf>
    <xf numFmtId="164" fontId="13" fillId="0" borderId="21" xfId="0" applyFont="true" applyBorder="true" applyAlignment="true" applyProtection="true">
      <alignment horizontal="center" vertical="top" textRotation="0" wrapText="true" indent="0" shrinkToFit="false"/>
      <protection locked="false" hidden="false"/>
    </xf>
    <xf numFmtId="164" fontId="0" fillId="0" borderId="0" xfId="0" applyFont="false" applyBorder="false" applyAlignment="true" applyProtection="false">
      <alignment horizontal="general" vertical="bottom" textRotation="0" wrapText="true" indent="0" shrinkToFit="false"/>
      <protection locked="true" hidden="false"/>
    </xf>
    <xf numFmtId="164" fontId="0" fillId="0" borderId="0" xfId="0" applyFont="false" applyBorder="false" applyAlignment="true" applyProtection="false">
      <alignment horizontal="center"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8" fillId="0" borderId="1" xfId="0" applyFont="true" applyBorder="true" applyAlignment="true" applyProtection="false">
      <alignment horizontal="left" vertical="center" textRotation="0" wrapText="false" indent="0" shrinkToFit="false"/>
      <protection locked="true" hidden="false"/>
    </xf>
    <xf numFmtId="164" fontId="0" fillId="0" borderId="22" xfId="0" applyFont="true" applyBorder="true" applyAlignment="false" applyProtection="false">
      <alignment horizontal="general" vertical="bottom" textRotation="0" wrapText="false" indent="0" shrinkToFit="false"/>
      <protection locked="true" hidden="false"/>
    </xf>
    <xf numFmtId="164" fontId="18" fillId="8" borderId="5" xfId="0" applyFont="true" applyBorder="true" applyAlignment="true" applyProtection="false">
      <alignment horizontal="center" vertical="bottom" textRotation="0" wrapText="false" indent="0" shrinkToFit="false"/>
      <protection locked="true" hidden="false"/>
    </xf>
    <xf numFmtId="164" fontId="18" fillId="8" borderId="5" xfId="0" applyFont="true" applyBorder="true" applyAlignment="true" applyProtection="false">
      <alignment horizontal="center" vertical="bottom" textRotation="0" wrapText="true" indent="0" shrinkToFit="false"/>
      <protection locked="true" hidden="false"/>
    </xf>
    <xf numFmtId="164" fontId="18" fillId="8" borderId="22" xfId="0" applyFont="true" applyBorder="true" applyAlignment="true" applyProtection="false">
      <alignment horizontal="center" vertical="center" textRotation="0" wrapText="true" indent="0" shrinkToFit="false"/>
      <protection locked="true" hidden="false"/>
    </xf>
    <xf numFmtId="164" fontId="18" fillId="3" borderId="5" xfId="0" applyFont="true" applyBorder="true" applyAlignment="true" applyProtection="false">
      <alignment horizontal="center" vertical="bottom" textRotation="0" wrapText="false" indent="0" shrinkToFit="false"/>
      <protection locked="true" hidden="false"/>
    </xf>
    <xf numFmtId="164" fontId="18" fillId="9" borderId="5" xfId="0" applyFont="true" applyBorder="true" applyAlignment="true" applyProtection="false">
      <alignment horizontal="center" vertical="bottom" textRotation="0" wrapText="false" indent="0" shrinkToFit="false"/>
      <protection locked="true" hidden="false"/>
    </xf>
    <xf numFmtId="164" fontId="18" fillId="9" borderId="20" xfId="0" applyFont="true" applyBorder="true" applyAlignment="true" applyProtection="false">
      <alignment horizontal="center" vertical="bottom" textRotation="0" wrapText="false" indent="0" shrinkToFit="false"/>
      <protection locked="true" hidden="false"/>
    </xf>
    <xf numFmtId="170" fontId="0" fillId="10" borderId="5" xfId="0" applyFont="false" applyBorder="true" applyAlignment="true" applyProtection="false">
      <alignment horizontal="center" vertical="center" textRotation="0" wrapText="false" indent="0" shrinkToFit="false"/>
      <protection locked="true" hidden="false"/>
    </xf>
    <xf numFmtId="170" fontId="0" fillId="10" borderId="3" xfId="0" applyFont="false" applyBorder="true" applyAlignment="true" applyProtection="false">
      <alignment horizontal="center" vertical="bottom" textRotation="0" wrapText="false" indent="0" shrinkToFit="false"/>
      <protection locked="true" hidden="false"/>
    </xf>
    <xf numFmtId="170" fontId="0" fillId="10" borderId="19" xfId="0" applyFont="false" applyBorder="true" applyAlignment="true" applyProtection="false">
      <alignment horizontal="center" vertical="bottom" textRotation="0" wrapText="false" indent="0" shrinkToFit="false"/>
      <protection locked="true" hidden="false"/>
    </xf>
    <xf numFmtId="170" fontId="0" fillId="10" borderId="1" xfId="0" applyFont="false" applyBorder="true" applyAlignment="true" applyProtection="false">
      <alignment horizontal="center" vertical="bottom" textRotation="0" wrapText="false" indent="0" shrinkToFit="false"/>
      <protection locked="true" hidden="false"/>
    </xf>
    <xf numFmtId="170" fontId="0" fillId="10" borderId="5" xfId="0" applyFont="false" applyBorder="true" applyAlignment="true" applyProtection="false">
      <alignment horizontal="center" vertical="bottom" textRotation="0" wrapText="false" indent="0" shrinkToFit="false"/>
      <protection locked="true" hidden="false"/>
    </xf>
    <xf numFmtId="164" fontId="18" fillId="8" borderId="5" xfId="0" applyFont="true" applyBorder="true" applyAlignment="true" applyProtection="false">
      <alignment horizontal="center" vertical="center" textRotation="0" wrapText="false" indent="0" shrinkToFit="false"/>
      <protection locked="true" hidden="false"/>
    </xf>
    <xf numFmtId="164" fontId="19" fillId="8" borderId="5" xfId="0" applyFont="true" applyBorder="true" applyAlignment="true" applyProtection="false">
      <alignment horizontal="general" vertical="bottom" textRotation="0" wrapText="true" indent="0" shrinkToFit="false"/>
      <protection locked="true" hidden="false"/>
    </xf>
    <xf numFmtId="164" fontId="19" fillId="8" borderId="5" xfId="0" applyFont="true" applyBorder="true" applyAlignment="true" applyProtection="false">
      <alignment horizontal="center" vertical="center" textRotation="0" wrapText="true" indent="0" shrinkToFit="false"/>
      <protection locked="true" hidden="false"/>
    </xf>
    <xf numFmtId="164" fontId="19" fillId="3" borderId="5" xfId="0" applyFont="true" applyBorder="true" applyAlignment="true" applyProtection="false">
      <alignment horizontal="center" vertical="bottom" textRotation="0" wrapText="false" indent="0" shrinkToFit="false"/>
      <protection locked="true" hidden="false"/>
    </xf>
    <xf numFmtId="164" fontId="19" fillId="9" borderId="5" xfId="0" applyFont="true" applyBorder="true" applyAlignment="true" applyProtection="false">
      <alignment horizontal="center" vertical="bottom" textRotation="0" wrapText="false" indent="0" shrinkToFit="false"/>
      <protection locked="true" hidden="false"/>
    </xf>
    <xf numFmtId="164" fontId="19" fillId="9" borderId="20" xfId="0" applyFont="true" applyBorder="true" applyAlignment="true" applyProtection="false">
      <alignment horizontal="center" vertical="bottom" textRotation="0" wrapText="false" indent="0" shrinkToFit="false"/>
      <protection locked="true" hidden="false"/>
    </xf>
    <xf numFmtId="167" fontId="19" fillId="8" borderId="5" xfId="0" applyFont="true" applyBorder="true" applyAlignment="true" applyProtection="false">
      <alignment horizontal="center" vertical="center" textRotation="0" wrapText="true" indent="0" shrinkToFit="false"/>
      <protection locked="true" hidden="false"/>
    </xf>
    <xf numFmtId="164" fontId="18" fillId="8" borderId="5" xfId="0" applyFont="true" applyBorder="true" applyAlignment="true" applyProtection="false">
      <alignment horizontal="general" vertical="bottom" textRotation="0" wrapText="true" indent="0" shrinkToFit="false"/>
      <protection locked="true" hidden="false"/>
    </xf>
    <xf numFmtId="164" fontId="18" fillId="8" borderId="5" xfId="0" applyFont="true" applyBorder="true" applyAlignment="true" applyProtection="false">
      <alignment horizontal="center" vertical="center" textRotation="0" wrapText="true" indent="0" shrinkToFit="false"/>
      <protection locked="true" hidden="false"/>
    </xf>
    <xf numFmtId="164" fontId="18" fillId="3" borderId="5" xfId="0" applyFont="true" applyBorder="true" applyAlignment="true" applyProtection="false">
      <alignment horizontal="center" vertical="top" textRotation="0" wrapText="false" indent="0" shrinkToFit="false"/>
      <protection locked="true" hidden="false"/>
    </xf>
    <xf numFmtId="164" fontId="18" fillId="9" borderId="5" xfId="0" applyFont="true" applyBorder="true" applyAlignment="true" applyProtection="false">
      <alignment horizontal="center" vertical="top" textRotation="0" wrapText="false" indent="0" shrinkToFit="false"/>
      <protection locked="true" hidden="false"/>
    </xf>
    <xf numFmtId="164" fontId="18" fillId="9" borderId="20" xfId="0" applyFont="true" applyBorder="true" applyAlignment="true" applyProtection="false">
      <alignment horizontal="center" vertical="top" textRotation="0" wrapText="false" indent="0" shrinkToFit="false"/>
      <protection locked="true" hidden="false"/>
    </xf>
    <xf numFmtId="164" fontId="19" fillId="8" borderId="5" xfId="0" applyFont="true" applyBorder="true" applyAlignment="true" applyProtection="false">
      <alignment horizontal="general" vertical="top" textRotation="0" wrapText="true" indent="0" shrinkToFit="false"/>
      <protection locked="true" hidden="false"/>
    </xf>
    <xf numFmtId="164" fontId="18" fillId="8" borderId="24" xfId="0" applyFont="true" applyBorder="true" applyAlignment="true" applyProtection="false">
      <alignment horizontal="center" vertical="center" textRotation="0" wrapText="false" indent="0" shrinkToFit="false"/>
      <protection locked="true" hidden="false"/>
    </xf>
    <xf numFmtId="164" fontId="18" fillId="8" borderId="21" xfId="0" applyFont="true" applyBorder="true" applyAlignment="true" applyProtection="false">
      <alignment horizontal="general" vertical="top" textRotation="0" wrapText="false" indent="0" shrinkToFit="false"/>
      <protection locked="true" hidden="false"/>
    </xf>
    <xf numFmtId="164" fontId="19" fillId="8" borderId="20" xfId="0" applyFont="true" applyBorder="true" applyAlignment="true" applyProtection="false">
      <alignment horizontal="left" vertical="top" textRotation="0" wrapText="true" indent="0" shrinkToFit="false"/>
      <protection locked="true" hidden="false"/>
    </xf>
    <xf numFmtId="164" fontId="0" fillId="3" borderId="5" xfId="0" applyFont="true" applyBorder="true" applyAlignment="false" applyProtection="false">
      <alignment horizontal="general" vertical="bottom" textRotation="0" wrapText="false" indent="0" shrinkToFit="false"/>
      <protection locked="true" hidden="false"/>
    </xf>
    <xf numFmtId="164" fontId="19" fillId="8" borderId="5" xfId="0" applyFont="true" applyBorder="true" applyAlignment="true" applyProtection="false">
      <alignment horizontal="center" vertical="center" textRotation="0" wrapText="false" indent="0" shrinkToFit="false"/>
      <protection locked="true" hidden="false"/>
    </xf>
    <xf numFmtId="164" fontId="19" fillId="3" borderId="0" xfId="0" applyFont="true" applyBorder="false" applyAlignment="false" applyProtection="false">
      <alignment horizontal="general" vertical="bottom" textRotation="0" wrapText="false" indent="0" shrinkToFit="false"/>
      <protection locked="true" hidden="false"/>
    </xf>
    <xf numFmtId="164" fontId="18" fillId="8" borderId="5" xfId="0" applyFont="true" applyBorder="true" applyAlignment="true" applyProtection="false">
      <alignment horizontal="left" vertical="top" textRotation="0" wrapText="false" indent="0" shrinkToFit="false"/>
      <protection locked="true" hidden="false"/>
    </xf>
    <xf numFmtId="164" fontId="18" fillId="8" borderId="20" xfId="0" applyFont="true" applyBorder="true" applyAlignment="true" applyProtection="false">
      <alignment horizontal="left" vertical="top" textRotation="0" wrapText="false" indent="0" shrinkToFit="false"/>
      <protection locked="true" hidden="false"/>
    </xf>
    <xf numFmtId="164" fontId="19" fillId="8" borderId="21" xfId="0" applyFont="true" applyBorder="true" applyAlignment="true" applyProtection="false">
      <alignment horizontal="left" vertical="top" textRotation="0" wrapText="true" indent="0" shrinkToFit="false"/>
      <protection locked="true" hidden="false"/>
    </xf>
    <xf numFmtId="164" fontId="18" fillId="8" borderId="21" xfId="0" applyFont="true" applyBorder="true" applyAlignment="true" applyProtection="false">
      <alignment horizontal="center" vertical="center" textRotation="0" wrapText="false" indent="0" shrinkToFit="false"/>
      <protection locked="true" hidden="false"/>
    </xf>
    <xf numFmtId="164" fontId="19" fillId="8" borderId="5" xfId="0" applyFont="true" applyBorder="true" applyAlignment="true" applyProtection="false">
      <alignment horizontal="left" vertical="center" textRotation="0" wrapText="true" indent="0" shrinkToFit="false"/>
      <protection locked="true" hidden="false"/>
    </xf>
    <xf numFmtId="164" fontId="19" fillId="3" borderId="5" xfId="0" applyFont="true" applyBorder="true" applyAlignment="true" applyProtection="false">
      <alignment horizontal="center" vertical="center" textRotation="0" wrapText="false" indent="0" shrinkToFit="false"/>
      <protection locked="true" hidden="false"/>
    </xf>
    <xf numFmtId="164" fontId="19" fillId="9" borderId="20" xfId="0" applyFont="true" applyBorder="true" applyAlignment="true" applyProtection="false">
      <alignment horizontal="center" vertical="center" textRotation="0" wrapText="false" indent="0" shrinkToFit="false"/>
      <protection locked="true" hidden="false"/>
    </xf>
    <xf numFmtId="164" fontId="0" fillId="0" borderId="20" xfId="0" applyFont="false" applyBorder="true" applyAlignment="false" applyProtection="false">
      <alignment horizontal="general" vertical="bottom" textRotation="0" wrapText="false" indent="0" shrinkToFit="false"/>
      <protection locked="true" hidden="false"/>
    </xf>
    <xf numFmtId="164" fontId="9" fillId="6" borderId="5" xfId="0" applyFont="true" applyBorder="true" applyAlignment="true" applyProtection="false">
      <alignment horizontal="left" vertical="center"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true" applyProtection="false">
      <alignment horizontal="general" vertical="center"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60">
    <dxf>
      <fill>
        <patternFill patternType="solid">
          <fgColor rgb="FFD0CECE"/>
          <bgColor rgb="FF000000"/>
        </patternFill>
      </fill>
    </dxf>
    <dxf>
      <fill>
        <patternFill patternType="solid">
          <fgColor rgb="FF000000"/>
          <bgColor rgb="FF000000"/>
        </patternFill>
      </fill>
    </dxf>
    <dxf>
      <fill>
        <patternFill patternType="solid">
          <bgColor rgb="FF000000"/>
        </patternFill>
      </fill>
    </dxf>
    <dxf>
      <fill>
        <patternFill>
          <bgColor theme="5" tint="0.7999"/>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FFFFFF"/>
      </font>
      <fill>
        <patternFill>
          <bgColor theme="0" tint="-0.35"/>
        </patternFill>
      </fill>
    </dxf>
    <dxf>
      <font>
        <color rgb="FFFFFFFF"/>
      </font>
      <fill>
        <patternFill>
          <bgColor theme="0" tint="-0.35"/>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s>
  <colors>
    <indexedColors>
      <rgbColor rgb="FF000000"/>
      <rgbColor rgb="FFFFFFFF"/>
      <rgbColor rgb="FFFF0000"/>
      <rgbColor rgb="FF00FF00"/>
      <rgbColor rgb="FF0000FF"/>
      <rgbColor rgb="FFFFFF00"/>
      <rgbColor rgb="FFFF00FF"/>
      <rgbColor rgb="FF00FFFF"/>
      <rgbColor rgb="FF9C0006"/>
      <rgbColor rgb="FF006100"/>
      <rgbColor rgb="FF000080"/>
      <rgbColor rgb="FF808000"/>
      <rgbColor rgb="FF800080"/>
      <rgbColor rgb="FF008080"/>
      <rgbColor rgb="FFD0CECE"/>
      <rgbColor rgb="FF808080"/>
      <rgbColor rgb="FF9999FF"/>
      <rgbColor rgb="FF993366"/>
      <rgbColor rgb="FFEBF1DE"/>
      <rgbColor rgb="FFF2F2F2"/>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6E0B4"/>
      <rgbColor rgb="FFC6EFCE"/>
      <rgbColor rgb="FFFFEB9C"/>
      <rgbColor rgb="FFB7DEE8"/>
      <rgbColor rgb="FFFFC7CE"/>
      <rgbColor rgb="FFCC99FF"/>
      <rgbColor rgb="FFFAC090"/>
      <rgbColor rgb="FF3366FF"/>
      <rgbColor rgb="FF33CCCC"/>
      <rgbColor rgb="FF92D050"/>
      <rgbColor rgb="FFFFCC00"/>
      <rgbColor rgb="FFFF9900"/>
      <rgbColor rgb="FFFF6600"/>
      <rgbColor rgb="FF666699"/>
      <rgbColor rgb="FFA6A6A6"/>
      <rgbColor rgb="FF003366"/>
      <rgbColor rgb="FF339966"/>
      <rgbColor rgb="FF003300"/>
      <rgbColor rgb="FF333300"/>
      <rgbColor rgb="FF9C57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2007 - 2010">
  <a:themeElements>
    <a:clrScheme name="Office 2007 - 2010">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1.xml"/><Relationship Id="rId3" Type="http://schemas.openxmlformats.org/officeDocument/2006/relationships/vmlDrawing" Target="../drawings/vmlDrawing1.vml"/>
</Relationships>
</file>

<file path=xl/worksheets/_rels/sheet6.xml.rels><?xml version="1.0" encoding="UTF-8"?>
<Relationships xmlns="http://schemas.openxmlformats.org/package/2006/relationships"><Relationship Id="rId1" Type="http://schemas.openxmlformats.org/officeDocument/2006/relationships/drawing" Target="../drawings/drawing2.xml"/>
</Relationships>
</file>

<file path=xl/worksheets/_rels/sheet10.xml.rels><?xml version="1.0" encoding="UTF-8"?>
<Relationships xmlns="http://schemas.openxmlformats.org/package/2006/relationships"><Relationship Id="rId1" Type="http://schemas.openxmlformats.org/officeDocument/2006/relationships/comments" Target="../comments10.xml"/><Relationship Id="rId2" Type="http://schemas.openxmlformats.org/officeDocument/2006/relationships/hyperlink" Target="../../../wmtkb/SitePages/Health-Check.aspx" TargetMode="External"/><Relationship Id="rId3" Type="http://schemas.openxmlformats.org/officeDocument/2006/relationships/vmlDrawing" Target="../drawings/vmlDrawing2.vml"/>
</Relationships>
</file>

<file path=xl/worksheets/_rels/sheet11.xml.rels><?xml version="1.0" encoding="UTF-8"?>
<Relationships xmlns="http://schemas.openxmlformats.org/package/2006/relationships"><Relationship Id="rId1" Type="http://schemas.openxmlformats.org/officeDocument/2006/relationships/comments" Target="../comments11.xml"/><Relationship Id="rId2" Type="http://schemas.openxmlformats.org/officeDocument/2006/relationships/vmlDrawing" Target="../drawings/vmlDrawing3.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G1048576"/>
  <sheetViews>
    <sheetView showFormulas="false" showGridLines="true" showRowColHeaders="true" showZeros="true" rightToLeft="false" tabSelected="false" showOutlineSymbols="true" defaultGridColor="true" view="normal" topLeftCell="A4" colorId="64" zoomScale="100" zoomScaleNormal="100" zoomScalePageLayoutView="100" workbookViewId="0">
      <selection pane="topLeft" activeCell="D13" activeCellId="0" sqref="D13"/>
    </sheetView>
  </sheetViews>
  <sheetFormatPr defaultColWidth="8.59765625" defaultRowHeight="14.25" zeroHeight="false" outlineLevelRow="0" outlineLevelCol="0"/>
  <cols>
    <col collapsed="false" customWidth="true" hidden="false" outlineLevel="0" max="1" min="1" style="0" width="27.43"/>
    <col collapsed="false" customWidth="true" hidden="false" outlineLevel="0" max="2" min="2" style="0" width="14.43"/>
    <col collapsed="false" customWidth="true" hidden="false" outlineLevel="0" max="3" min="3" style="0" width="25.57"/>
    <col collapsed="false" customWidth="true" hidden="false" outlineLevel="0" max="4" min="4" style="0" width="47.43"/>
    <col collapsed="false" customWidth="true" hidden="false" outlineLevel="0" max="5" min="5" style="0" width="20.86"/>
    <col collapsed="false" customWidth="true" hidden="false" outlineLevel="0" max="6" min="6" style="0" width="26.71"/>
    <col collapsed="false" customWidth="true" hidden="false" outlineLevel="0" max="7" min="7" style="0" width="27.72"/>
  </cols>
  <sheetData>
    <row r="1" customFormat="false" ht="15" hidden="false" customHeight="true" outlineLevel="0" collapsed="false">
      <c r="B1" s="1"/>
      <c r="C1" s="2"/>
      <c r="D1" s="2"/>
      <c r="E1" s="2"/>
      <c r="F1" s="2"/>
      <c r="G1" s="2"/>
    </row>
    <row r="2" customFormat="false" ht="15" hidden="false" customHeight="true" outlineLevel="0" collapsed="false">
      <c r="B2" s="3"/>
      <c r="C2" s="4"/>
      <c r="D2" s="4"/>
      <c r="E2" s="4"/>
      <c r="F2" s="4"/>
      <c r="G2" s="5"/>
    </row>
    <row r="3" customFormat="false" ht="15" hidden="false" customHeight="true" outlineLevel="0" collapsed="false">
      <c r="B3" s="6"/>
      <c r="C3" s="7"/>
      <c r="D3" s="8" t="s">
        <v>0</v>
      </c>
      <c r="E3" s="8"/>
      <c r="F3" s="8"/>
      <c r="G3" s="9"/>
    </row>
    <row r="4" customFormat="false" ht="15" hidden="false" customHeight="true" outlineLevel="0" collapsed="false">
      <c r="B4" s="6"/>
      <c r="C4" s="7"/>
      <c r="D4" s="8"/>
      <c r="E4" s="8"/>
      <c r="F4" s="8"/>
      <c r="G4" s="9"/>
    </row>
    <row r="5" customFormat="false" ht="15" hidden="false" customHeight="true" outlineLevel="0" collapsed="false">
      <c r="B5" s="6"/>
      <c r="C5" s="7"/>
      <c r="D5" s="8"/>
      <c r="E5" s="8"/>
      <c r="F5" s="8"/>
      <c r="G5" s="9"/>
    </row>
    <row r="6" customFormat="false" ht="15" hidden="false" customHeight="true" outlineLevel="0" collapsed="false">
      <c r="B6" s="6"/>
      <c r="C6" s="7"/>
      <c r="D6" s="8"/>
      <c r="E6" s="8"/>
      <c r="F6" s="8"/>
      <c r="G6" s="9"/>
    </row>
    <row r="7" customFormat="false" ht="15" hidden="false" customHeight="true" outlineLevel="0" collapsed="false">
      <c r="B7" s="6"/>
      <c r="C7" s="7"/>
      <c r="D7" s="8"/>
      <c r="E7" s="8"/>
      <c r="F7" s="8"/>
      <c r="G7" s="9"/>
    </row>
    <row r="8" customFormat="false" ht="15" hidden="false" customHeight="true" outlineLevel="0" collapsed="false">
      <c r="B8" s="6"/>
      <c r="C8" s="7"/>
      <c r="D8" s="8"/>
      <c r="E8" s="8"/>
      <c r="F8" s="8"/>
      <c r="G8" s="9"/>
    </row>
    <row r="9" customFormat="false" ht="15" hidden="false" customHeight="true" outlineLevel="0" collapsed="false">
      <c r="B9" s="6"/>
      <c r="C9" s="7"/>
      <c r="D9" s="8"/>
      <c r="E9" s="8"/>
      <c r="F9" s="8"/>
      <c r="G9" s="9"/>
    </row>
    <row r="10" customFormat="false" ht="15" hidden="false" customHeight="true" outlineLevel="0" collapsed="false">
      <c r="B10" s="6"/>
      <c r="C10" s="7"/>
      <c r="D10" s="8"/>
      <c r="E10" s="8"/>
      <c r="F10" s="8"/>
      <c r="G10" s="9"/>
    </row>
    <row r="11" customFormat="false" ht="15" hidden="false" customHeight="true" outlineLevel="0" collapsed="false">
      <c r="B11" s="6"/>
      <c r="C11" s="7"/>
      <c r="D11" s="8"/>
      <c r="E11" s="8"/>
      <c r="F11" s="8"/>
      <c r="G11" s="9"/>
    </row>
    <row r="12" customFormat="false" ht="15" hidden="false" customHeight="true" outlineLevel="0" collapsed="false">
      <c r="B12" s="6"/>
      <c r="C12" s="7"/>
      <c r="D12" s="7"/>
      <c r="E12" s="7"/>
      <c r="F12" s="7"/>
      <c r="G12" s="9"/>
    </row>
    <row r="13" customFormat="false" ht="15" hidden="false" customHeight="true" outlineLevel="0" collapsed="false">
      <c r="B13" s="6"/>
      <c r="C13" s="7"/>
      <c r="E13" s="7"/>
      <c r="F13" s="7"/>
      <c r="G13" s="9"/>
    </row>
    <row r="14" customFormat="false" ht="15" hidden="false" customHeight="true" outlineLevel="0" collapsed="false">
      <c r="B14" s="10"/>
      <c r="C14" s="11"/>
      <c r="D14" s="11"/>
      <c r="E14" s="11"/>
      <c r="F14" s="11"/>
      <c r="G14" s="12"/>
    </row>
    <row r="16" customFormat="false" ht="15" hidden="false" customHeight="true" outlineLevel="0" collapsed="false">
      <c r="B16" s="13" t="s">
        <v>1</v>
      </c>
      <c r="C16" s="13" t="s">
        <v>2</v>
      </c>
      <c r="D16" s="13" t="s">
        <v>3</v>
      </c>
      <c r="E16" s="13" t="s">
        <v>4</v>
      </c>
      <c r="F16" s="13" t="s">
        <v>5</v>
      </c>
      <c r="G16" s="13" t="s">
        <v>6</v>
      </c>
    </row>
    <row r="17" customFormat="false" ht="14.25" hidden="false" customHeight="true" outlineLevel="0" collapsed="false">
      <c r="B17" s="14"/>
      <c r="C17" s="15"/>
      <c r="D17" s="15"/>
      <c r="E17" s="16"/>
      <c r="F17" s="15"/>
      <c r="G17" s="15"/>
    </row>
    <row r="18" customFormat="false" ht="14.25" hidden="false" customHeight="true" outlineLevel="0" collapsed="false">
      <c r="B18" s="17"/>
      <c r="C18" s="15"/>
      <c r="D18" s="15"/>
      <c r="E18" s="16"/>
      <c r="F18" s="15"/>
      <c r="G18" s="15"/>
    </row>
    <row r="19" customFormat="false" ht="14.25" hidden="false" customHeight="true" outlineLevel="0" collapsed="false">
      <c r="B19" s="17"/>
      <c r="C19" s="15"/>
      <c r="D19" s="15"/>
      <c r="E19" s="16"/>
      <c r="F19" s="15"/>
      <c r="G19" s="15"/>
    </row>
    <row r="20" customFormat="false" ht="14.25" hidden="false" customHeight="true" outlineLevel="0" collapsed="false">
      <c r="B20" s="17"/>
      <c r="C20" s="18"/>
      <c r="D20" s="18"/>
      <c r="E20" s="16"/>
      <c r="F20" s="18"/>
      <c r="G20" s="18"/>
    </row>
    <row r="1048576" customFormat="false" ht="12.8" hidden="false" customHeight="false" outlineLevel="0" collapsed="false"/>
  </sheetData>
  <mergeCells count="1">
    <mergeCell ref="D3:F11"/>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W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0" topLeftCell="B1" activePane="topRight" state="frozen"/>
      <selection pane="topLeft" activeCell="A1" activeCellId="0" sqref="A1"/>
      <selection pane="topRight" activeCell="M10" activeCellId="0" sqref="M10"/>
    </sheetView>
  </sheetViews>
  <sheetFormatPr defaultColWidth="8.59765625" defaultRowHeight="15" zeroHeight="false" outlineLevelRow="0" outlineLevelCol="0"/>
  <cols>
    <col collapsed="false" customWidth="true" hidden="false" outlineLevel="0" max="1" min="1" style="0" width="41.86"/>
    <col collapsed="false" customWidth="true" hidden="false" outlineLevel="0" max="2" min="2" style="0" width="15.43"/>
    <col collapsed="false" customWidth="true" hidden="false" outlineLevel="0" max="3" min="3" style="0" width="14.43"/>
    <col collapsed="false" customWidth="true" hidden="false" outlineLevel="0" max="4" min="4" style="0" width="16.57"/>
    <col collapsed="false" customWidth="true" hidden="false" outlineLevel="0" max="5" min="5" style="0" width="12.29"/>
    <col collapsed="false" customWidth="true" hidden="false" outlineLevel="0" max="6" min="6" style="0" width="12.86"/>
    <col collapsed="false" customWidth="true" hidden="false" outlineLevel="0" max="7" min="7" style="0" width="11.28"/>
    <col collapsed="false" customWidth="true" hidden="false" outlineLevel="0" max="8" min="8" style="0" width="11.43"/>
    <col collapsed="false" customWidth="true" hidden="false" outlineLevel="0" max="9" min="9" style="0" width="12.57"/>
    <col collapsed="false" customWidth="true" hidden="false" outlineLevel="0" max="10" min="10" style="0" width="11.28"/>
    <col collapsed="false" customWidth="true" hidden="false" outlineLevel="0" max="11" min="11" style="0" width="9.86"/>
    <col collapsed="false" customWidth="true" hidden="false" outlineLevel="0" max="12" min="12" style="0" width="10.29"/>
  </cols>
  <sheetData>
    <row r="2" customFormat="false" ht="15" hidden="false" customHeight="false" outlineLevel="0" collapsed="false">
      <c r="A2" s="19" t="s">
        <v>7</v>
      </c>
    </row>
    <row r="3" customFormat="false" ht="15" hidden="false" customHeight="false" outlineLevel="0" collapsed="false">
      <c r="A3" s="20" t="s">
        <v>8</v>
      </c>
    </row>
    <row r="4" customFormat="false" ht="15" hidden="false" customHeight="false" outlineLevel="0" collapsed="false">
      <c r="A4" s="21" t="s">
        <v>9</v>
      </c>
    </row>
    <row r="6" customFormat="false" ht="15" hidden="false" customHeight="false" outlineLevel="0" collapsed="false">
      <c r="A6" s="22" t="s">
        <v>10</v>
      </c>
      <c r="B6" s="23" t="s">
        <v>11</v>
      </c>
      <c r="C6" s="24" t="s">
        <v>12</v>
      </c>
      <c r="D6" s="23" t="s">
        <v>13</v>
      </c>
      <c r="E6" s="25" t="s">
        <v>14</v>
      </c>
      <c r="F6" s="23" t="s">
        <v>15</v>
      </c>
      <c r="G6" s="23" t="s">
        <v>16</v>
      </c>
      <c r="H6" s="23" t="s">
        <v>17</v>
      </c>
      <c r="I6" s="23" t="s">
        <v>18</v>
      </c>
      <c r="J6" s="23" t="s">
        <v>19</v>
      </c>
      <c r="K6" s="23" t="s">
        <v>20</v>
      </c>
      <c r="L6" s="23" t="s">
        <v>21</v>
      </c>
      <c r="M6" s="23" t="s">
        <v>22</v>
      </c>
      <c r="N6" s="23" t="s">
        <v>23</v>
      </c>
      <c r="O6" s="24" t="s">
        <v>24</v>
      </c>
      <c r="P6" s="23" t="s">
        <v>25</v>
      </c>
      <c r="Q6" s="25" t="s">
        <v>26</v>
      </c>
      <c r="R6" s="23" t="s">
        <v>27</v>
      </c>
      <c r="S6" s="23" t="s">
        <v>28</v>
      </c>
      <c r="T6" s="23" t="s">
        <v>29</v>
      </c>
      <c r="U6" s="23" t="s">
        <v>30</v>
      </c>
      <c r="V6" s="23" t="s">
        <v>31</v>
      </c>
      <c r="W6" s="23" t="s">
        <v>32</v>
      </c>
    </row>
    <row r="7" customFormat="false" ht="15" hidden="false" customHeight="false" outlineLevel="0" collapsed="false">
      <c r="A7" s="26" t="s">
        <v>33</v>
      </c>
      <c r="B7" s="27"/>
      <c r="C7" s="27"/>
      <c r="D7" s="27" t="s">
        <v>34</v>
      </c>
      <c r="E7" s="27" t="s">
        <v>34</v>
      </c>
      <c r="F7" s="27" t="s">
        <v>34</v>
      </c>
      <c r="G7" s="27" t="s">
        <v>34</v>
      </c>
      <c r="H7" s="27" t="s">
        <v>34</v>
      </c>
      <c r="I7" s="28" t="s">
        <v>34</v>
      </c>
      <c r="J7" s="28" t="s">
        <v>34</v>
      </c>
      <c r="K7" s="28" t="s">
        <v>34</v>
      </c>
      <c r="L7" s="27" t="s">
        <v>34</v>
      </c>
      <c r="M7" s="27" t="s">
        <v>34</v>
      </c>
      <c r="N7" s="27"/>
      <c r="O7" s="27"/>
      <c r="P7" s="27"/>
      <c r="Q7" s="27"/>
      <c r="R7" s="27"/>
      <c r="S7" s="27"/>
      <c r="T7" s="27"/>
      <c r="U7" s="28"/>
      <c r="V7" s="28"/>
      <c r="W7" s="28"/>
    </row>
    <row r="8" customFormat="false" ht="15" hidden="false" customHeight="false" outlineLevel="0" collapsed="false">
      <c r="A8" s="29" t="s">
        <v>35</v>
      </c>
      <c r="B8" s="27"/>
      <c r="C8" s="27"/>
      <c r="D8" s="27" t="s">
        <v>36</v>
      </c>
      <c r="E8" s="28" t="s">
        <v>36</v>
      </c>
      <c r="F8" s="28" t="s">
        <v>36</v>
      </c>
      <c r="G8" s="28" t="s">
        <v>36</v>
      </c>
      <c r="H8" s="28" t="s">
        <v>36</v>
      </c>
      <c r="I8" s="28" t="s">
        <v>36</v>
      </c>
      <c r="J8" s="28" t="s">
        <v>34</v>
      </c>
      <c r="K8" s="28" t="s">
        <v>34</v>
      </c>
      <c r="L8" s="27" t="s">
        <v>34</v>
      </c>
      <c r="M8" s="27" t="s">
        <v>34</v>
      </c>
      <c r="N8" s="27"/>
      <c r="O8" s="27"/>
      <c r="P8" s="27"/>
      <c r="Q8" s="28"/>
      <c r="R8" s="28"/>
      <c r="S8" s="28"/>
      <c r="T8" s="28"/>
      <c r="U8" s="28"/>
      <c r="V8" s="28"/>
      <c r="W8" s="28"/>
    </row>
    <row r="9" customFormat="false" ht="15" hidden="false" customHeight="false" outlineLevel="0" collapsed="false">
      <c r="A9" s="29" t="s">
        <v>37</v>
      </c>
      <c r="B9" s="27"/>
      <c r="C9" s="27" t="s">
        <v>34</v>
      </c>
      <c r="D9" s="27" t="s">
        <v>34</v>
      </c>
      <c r="E9" s="28" t="s">
        <v>34</v>
      </c>
      <c r="F9" s="28" t="s">
        <v>36</v>
      </c>
      <c r="G9" s="27" t="s">
        <v>34</v>
      </c>
      <c r="H9" s="27" t="s">
        <v>34</v>
      </c>
      <c r="I9" s="28" t="s">
        <v>34</v>
      </c>
      <c r="J9" s="28" t="s">
        <v>34</v>
      </c>
      <c r="K9" s="28" t="s">
        <v>34</v>
      </c>
      <c r="L9" s="27" t="s">
        <v>34</v>
      </c>
      <c r="M9" s="27" t="s">
        <v>34</v>
      </c>
      <c r="N9" s="27"/>
      <c r="O9" s="27"/>
      <c r="P9" s="27"/>
      <c r="Q9" s="28"/>
      <c r="R9" s="28"/>
      <c r="S9" s="27"/>
      <c r="T9" s="27"/>
      <c r="U9" s="28"/>
      <c r="V9" s="28"/>
      <c r="W9" s="28"/>
    </row>
    <row r="10" customFormat="false" ht="15" hidden="false" customHeight="false" outlineLevel="0" collapsed="false">
      <c r="A10" s="30" t="s">
        <v>38</v>
      </c>
      <c r="B10" s="27"/>
      <c r="C10" s="27"/>
      <c r="D10" s="27" t="s">
        <v>36</v>
      </c>
      <c r="E10" s="28" t="s">
        <v>36</v>
      </c>
      <c r="F10" s="28" t="s">
        <v>36</v>
      </c>
      <c r="G10" s="27" t="s">
        <v>34</v>
      </c>
      <c r="H10" s="27" t="s">
        <v>34</v>
      </c>
      <c r="I10" s="28" t="s">
        <v>34</v>
      </c>
      <c r="J10" s="28" t="s">
        <v>34</v>
      </c>
      <c r="K10" s="28" t="s">
        <v>34</v>
      </c>
      <c r="L10" s="27" t="s">
        <v>34</v>
      </c>
      <c r="M10" s="27" t="s">
        <v>34</v>
      </c>
      <c r="N10" s="27"/>
      <c r="O10" s="27"/>
      <c r="P10" s="27"/>
      <c r="Q10" s="28"/>
      <c r="R10" s="28"/>
      <c r="S10" s="27"/>
      <c r="T10" s="27"/>
      <c r="U10" s="28"/>
      <c r="V10" s="28"/>
      <c r="W10" s="28"/>
    </row>
  </sheetData>
  <dataValidations count="1">
    <dataValidation allowBlank="true" errorStyle="stop" operator="between" showDropDown="false" showErrorMessage="true" showInputMessage="true" sqref="B7:H7 L7:T7 B8:D10 L8:P10 G9:H10 S9:T10" type="list">
      <formula1>"Yes,No"</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true">
    <pageSetUpPr fitToPage="false"/>
  </sheetPr>
  <dimension ref="A1:S9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2" topLeftCell="F25" activePane="bottomRight" state="frozen"/>
      <selection pane="topLeft" activeCell="A1" activeCellId="0" sqref="A1"/>
      <selection pane="topRight" activeCell="F1" activeCellId="0" sqref="F1"/>
      <selection pane="bottomLeft" activeCell="A25" activeCellId="0" sqref="A25"/>
      <selection pane="bottomRight" activeCell="L91" activeCellId="0" sqref="L91"/>
    </sheetView>
  </sheetViews>
  <sheetFormatPr defaultColWidth="9.14453125" defaultRowHeight="15" zeroHeight="false" outlineLevelRow="0" outlineLevelCol="0"/>
  <cols>
    <col collapsed="false" customWidth="true" hidden="false" outlineLevel="0" max="1" min="1" style="31" width="10.71"/>
    <col collapsed="false" customWidth="true" hidden="false" outlineLevel="0" max="2" min="2" style="32" width="68.57"/>
    <col collapsed="false" customWidth="true" hidden="false" outlineLevel="0" max="3" min="3" style="32" width="39"/>
    <col collapsed="false" customWidth="true" hidden="false" outlineLevel="0" max="4" min="4" style="33" width="47.72"/>
    <col collapsed="false" customWidth="true" hidden="false" outlineLevel="0" max="5" min="5" style="31" width="12.29"/>
    <col collapsed="false" customWidth="true" hidden="false" outlineLevel="0" max="7" min="6" style="31" width="14.57"/>
    <col collapsed="false" customWidth="true" hidden="false" outlineLevel="0" max="8" min="8" style="31" width="20.57"/>
    <col collapsed="false" customWidth="true" hidden="false" outlineLevel="0" max="9" min="9" style="31" width="13"/>
    <col collapsed="false" customWidth="true" hidden="false" outlineLevel="0" max="10" min="10" style="31" width="12.57"/>
    <col collapsed="false" customWidth="true" hidden="false" outlineLevel="0" max="11" min="11" style="31" width="10.71"/>
    <col collapsed="false" customWidth="true" hidden="false" outlineLevel="0" max="12" min="12" style="32" width="55.28"/>
    <col collapsed="false" customWidth="false" hidden="false" outlineLevel="0" max="18" min="13" style="32" width="9.14"/>
    <col collapsed="false" customWidth="true" hidden="true" outlineLevel="0" max="19" min="19" style="32" width="10.16"/>
    <col collapsed="false" customWidth="false" hidden="false" outlineLevel="0" max="16384" min="20" style="32" width="9.14"/>
  </cols>
  <sheetData>
    <row r="1" customFormat="false" ht="19.7" hidden="false" customHeight="false" outlineLevel="0" collapsed="false">
      <c r="A1" s="34" t="s">
        <v>39</v>
      </c>
      <c r="B1" s="34"/>
      <c r="C1" s="34"/>
      <c r="D1" s="34"/>
      <c r="E1" s="34"/>
      <c r="F1" s="34"/>
      <c r="G1" s="34"/>
      <c r="H1" s="34"/>
      <c r="I1" s="34"/>
      <c r="J1" s="34"/>
      <c r="K1" s="34"/>
      <c r="L1" s="34"/>
    </row>
    <row r="2" s="37" customFormat="true" ht="30.75" hidden="false" customHeight="false" outlineLevel="0" collapsed="false">
      <c r="A2" s="35" t="s">
        <v>40</v>
      </c>
      <c r="B2" s="35" t="s">
        <v>41</v>
      </c>
      <c r="C2" s="35" t="s">
        <v>42</v>
      </c>
      <c r="D2" s="35" t="s">
        <v>43</v>
      </c>
      <c r="E2" s="35" t="s">
        <v>44</v>
      </c>
      <c r="F2" s="35" t="s">
        <v>45</v>
      </c>
      <c r="G2" s="36" t="s">
        <v>46</v>
      </c>
      <c r="H2" s="35" t="s">
        <v>47</v>
      </c>
      <c r="I2" s="35" t="s">
        <v>48</v>
      </c>
      <c r="J2" s="35" t="s">
        <v>49</v>
      </c>
      <c r="K2" s="35" t="s">
        <v>50</v>
      </c>
      <c r="L2" s="35" t="s">
        <v>51</v>
      </c>
    </row>
    <row r="3" customFormat="false" ht="180" hidden="true" customHeight="true" outlineLevel="0" collapsed="false">
      <c r="A3" s="38" t="n">
        <v>1</v>
      </c>
      <c r="B3" s="39" t="s">
        <v>52</v>
      </c>
      <c r="C3" s="39" t="s">
        <v>53</v>
      </c>
      <c r="D3" s="39" t="s">
        <v>54</v>
      </c>
      <c r="E3" s="40" t="s">
        <v>55</v>
      </c>
      <c r="F3" s="41" t="s">
        <v>55</v>
      </c>
      <c r="G3" s="42" t="str">
        <f aca="false">IF(E3 = "High", VLOOKUP(F3,'Risk Chart'!$B$2:$C$6,2),IF(E3 = "Very High", VLOOKUP(F3,'Risk Chart'!$B$17:$C$21,2),IF(E3 = "Very Low", VLOOKUP(F3,'Risk Chart'!$B$22:$C$26,2),IF(E3 = "Low", VLOOKUP(F3,'Risk Chart'!$B$7:$C$11,2),IF(E3 = "Medium", VLOOKUP(F3,'Risk Chart'!$B$12:$C$16,2), "")))))</f>
        <v>High</v>
      </c>
      <c r="H3" s="41" t="s">
        <v>56</v>
      </c>
      <c r="I3" s="43" t="n">
        <v>44570</v>
      </c>
      <c r="J3" s="43" t="s">
        <v>57</v>
      </c>
      <c r="K3" s="44" t="s">
        <v>58</v>
      </c>
      <c r="L3" s="45"/>
    </row>
    <row r="4" customFormat="false" ht="46.25" hidden="true" customHeight="false" outlineLevel="0" collapsed="false">
      <c r="A4" s="38" t="n">
        <v>2</v>
      </c>
      <c r="B4" s="39" t="s">
        <v>59</v>
      </c>
      <c r="C4" s="39" t="s">
        <v>60</v>
      </c>
      <c r="D4" s="39" t="s">
        <v>61</v>
      </c>
      <c r="E4" s="40" t="s">
        <v>55</v>
      </c>
      <c r="F4" s="41" t="s">
        <v>55</v>
      </c>
      <c r="G4" s="42" t="str">
        <f aca="false">IF(E4 = "High", VLOOKUP(F4,'Risk Chart'!$B$2:$C$6,2),IF(E4 = "Very High", VLOOKUP(F4,'Risk Chart'!$B$17:$C$21,2),IF(E4 = "Very Low", VLOOKUP(F4,'Risk Chart'!$B$22:$C$26,2),IF(E4 = "Low", VLOOKUP(F4,'Risk Chart'!$B$7:$C$11,2),IF(E4 = "Medium", VLOOKUP(F4,'Risk Chart'!$B$12:$C$16,2), "")))))</f>
        <v>High</v>
      </c>
      <c r="H4" s="41" t="s">
        <v>62</v>
      </c>
      <c r="I4" s="43" t="n">
        <v>44843</v>
      </c>
      <c r="J4" s="43" t="s">
        <v>57</v>
      </c>
      <c r="K4" s="44" t="s">
        <v>58</v>
      </c>
      <c r="L4" s="45"/>
    </row>
    <row r="5" customFormat="false" ht="46.25" hidden="true" customHeight="false" outlineLevel="0" collapsed="false">
      <c r="A5" s="38" t="n">
        <v>3</v>
      </c>
      <c r="B5" s="39" t="s">
        <v>63</v>
      </c>
      <c r="C5" s="39" t="s">
        <v>64</v>
      </c>
      <c r="D5" s="39" t="s">
        <v>65</v>
      </c>
      <c r="E5" s="40" t="s">
        <v>55</v>
      </c>
      <c r="F5" s="41" t="s">
        <v>55</v>
      </c>
      <c r="G5" s="42" t="str">
        <f aca="false">IF(E5 = "High", VLOOKUP(F5,'Risk Chart'!$B$2:$C$6,2),IF(E5 = "Very High", VLOOKUP(F5,'Risk Chart'!$B$17:$C$21,2),IF(E5 = "Very Low", VLOOKUP(F5,'Risk Chart'!$B$22:$C$26,2),IF(E5 = "Low", VLOOKUP(F5,'Risk Chart'!$B$7:$C$11,2),IF(E5 = "Medium", VLOOKUP(F5,'Risk Chart'!$B$12:$C$16,2), "")))))</f>
        <v>High</v>
      </c>
      <c r="H5" s="41" t="s">
        <v>62</v>
      </c>
      <c r="I5" s="43" t="n">
        <v>44843</v>
      </c>
      <c r="J5" s="43"/>
      <c r="K5" s="44" t="s">
        <v>58</v>
      </c>
      <c r="L5" s="45"/>
    </row>
    <row r="6" customFormat="false" ht="135.8" hidden="true" customHeight="false" outlineLevel="0" collapsed="false">
      <c r="A6" s="38" t="n">
        <v>4</v>
      </c>
      <c r="B6" s="39" t="s">
        <v>66</v>
      </c>
      <c r="C6" s="39" t="s">
        <v>67</v>
      </c>
      <c r="D6" s="39" t="s">
        <v>68</v>
      </c>
      <c r="E6" s="40" t="s">
        <v>55</v>
      </c>
      <c r="F6" s="41" t="s">
        <v>55</v>
      </c>
      <c r="G6" s="42" t="str">
        <f aca="false">IF(E6 = "High", VLOOKUP(F6,'Risk Chart'!$B$2:$C$6,2),IF(E6 = "Very High", VLOOKUP(F6,'Risk Chart'!$B$17:$C$21,2),IF(E6 = "Very Low", VLOOKUP(F6,'Risk Chart'!$B$22:$C$26,2),IF(E6 = "Low", VLOOKUP(F6,'Risk Chart'!$B$7:$C$11,2),IF(E6 = "Medium", VLOOKUP(F6,'Risk Chart'!$B$12:$C$16,2), "")))))</f>
        <v>High</v>
      </c>
      <c r="H6" s="41" t="s">
        <v>69</v>
      </c>
      <c r="I6" s="43" t="n">
        <v>44852</v>
      </c>
      <c r="J6" s="46"/>
      <c r="K6" s="44" t="s">
        <v>58</v>
      </c>
      <c r="L6" s="45" t="s">
        <v>70</v>
      </c>
    </row>
    <row r="7" customFormat="false" ht="120.85" hidden="true" customHeight="false" outlineLevel="0" collapsed="false">
      <c r="A7" s="38" t="n">
        <f aca="false">IF(B6="","",A6+1)</f>
        <v>5</v>
      </c>
      <c r="B7" s="39" t="s">
        <v>71</v>
      </c>
      <c r="C7" s="39" t="s">
        <v>72</v>
      </c>
      <c r="D7" s="39" t="s">
        <v>73</v>
      </c>
      <c r="E7" s="40" t="s">
        <v>55</v>
      </c>
      <c r="F7" s="41" t="s">
        <v>55</v>
      </c>
      <c r="G7" s="42" t="str">
        <f aca="false">IF(E7 = "High", VLOOKUP(F7,'Risk Chart'!$B$2:$C$6,2),IF(E7 = "Very High", VLOOKUP(F7,'Risk Chart'!$B$17:$C$21,2),IF(E7 = "Very Low", VLOOKUP(F7,'Risk Chart'!$B$22:$C$26,2),IF(E7 = "Low", VLOOKUP(F7,'Risk Chart'!$B$7:$C$11,2),IF(E7 = "Medium", VLOOKUP(F7,'Risk Chart'!$B$12:$C$16,2), "")))))</f>
        <v>High</v>
      </c>
      <c r="H7" s="41" t="s">
        <v>74</v>
      </c>
      <c r="I7" s="43" t="n">
        <v>44839</v>
      </c>
      <c r="J7" s="46"/>
      <c r="K7" s="44" t="s">
        <v>58</v>
      </c>
      <c r="L7" s="45" t="s">
        <v>75</v>
      </c>
    </row>
    <row r="8" customFormat="false" ht="46.25" hidden="true" customHeight="false" outlineLevel="0" collapsed="false">
      <c r="A8" s="38" t="n">
        <f aca="false">IF(B7="","",A7+1)</f>
        <v>6</v>
      </c>
      <c r="B8" s="39" t="s">
        <v>76</v>
      </c>
      <c r="C8" s="39" t="s">
        <v>77</v>
      </c>
      <c r="D8" s="39" t="s">
        <v>78</v>
      </c>
      <c r="E8" s="40" t="s">
        <v>55</v>
      </c>
      <c r="F8" s="41" t="s">
        <v>55</v>
      </c>
      <c r="G8" s="42" t="str">
        <f aca="false">IF(E8 = "High", VLOOKUP(F8,'Risk Chart'!$B$2:$C$6,2),IF(E8 = "Very High", VLOOKUP(F8,'Risk Chart'!$B$17:$C$21,2),IF(E8 = "Very Low", VLOOKUP(F8,'Risk Chart'!$B$22:$C$26,2),IF(E8 = "Low", VLOOKUP(F8,'Risk Chart'!$B$7:$C$11,2),IF(E8 = "Medium", VLOOKUP(F8,'Risk Chart'!$B$12:$C$16,2), "")))))</f>
        <v>High</v>
      </c>
      <c r="H8" s="41" t="s">
        <v>74</v>
      </c>
      <c r="I8" s="43" t="n">
        <v>44839</v>
      </c>
      <c r="J8" s="46"/>
      <c r="K8" s="44" t="s">
        <v>58</v>
      </c>
      <c r="L8" s="45" t="s">
        <v>75</v>
      </c>
    </row>
    <row r="9" customFormat="false" ht="46.25" hidden="true" customHeight="false" outlineLevel="0" collapsed="false">
      <c r="A9" s="47" t="n">
        <f aca="false">IF(B8="","",A8+1)</f>
        <v>7</v>
      </c>
      <c r="B9" s="48" t="s">
        <v>79</v>
      </c>
      <c r="C9" s="48" t="s">
        <v>80</v>
      </c>
      <c r="D9" s="48" t="s">
        <v>81</v>
      </c>
      <c r="E9" s="49" t="s">
        <v>55</v>
      </c>
      <c r="F9" s="50" t="s">
        <v>55</v>
      </c>
      <c r="G9" s="51" t="s">
        <v>55</v>
      </c>
      <c r="H9" s="50" t="s">
        <v>69</v>
      </c>
      <c r="I9" s="52" t="n">
        <v>44854</v>
      </c>
      <c r="J9" s="53"/>
      <c r="K9" s="54" t="s">
        <v>58</v>
      </c>
      <c r="L9" s="55" t="s">
        <v>70</v>
      </c>
    </row>
    <row r="10" customFormat="false" ht="46.25" hidden="true" customHeight="false" outlineLevel="0" collapsed="false">
      <c r="A10" s="47" t="n">
        <f aca="false">IF(B9="","",A9+1)</f>
        <v>8</v>
      </c>
      <c r="B10" s="48" t="s">
        <v>82</v>
      </c>
      <c r="C10" s="48" t="s">
        <v>83</v>
      </c>
      <c r="D10" s="48" t="s">
        <v>84</v>
      </c>
      <c r="E10" s="49" t="s">
        <v>55</v>
      </c>
      <c r="F10" s="50" t="s">
        <v>55</v>
      </c>
      <c r="G10" s="51" t="str">
        <f aca="false">IF(E10 = "High", VLOOKUP(F10,'Risk Chart'!$B$2:$C$6,2),IF(E10 = "Very High", VLOOKUP(F10,'Risk Chart'!$B$17:$C$21,2),IF(E10 = "Very Low", VLOOKUP(F10,'Risk Chart'!$B$22:$C$26,2),IF(E10 = "Low", VLOOKUP(F10,'Risk Chart'!$B$7:$C$11,2),IF(E10 = "Medium", VLOOKUP(F10,'Risk Chart'!$B$12:$C$16,2), "")))))</f>
        <v>High</v>
      </c>
      <c r="H10" s="41" t="s">
        <v>74</v>
      </c>
      <c r="I10" s="43" t="n">
        <v>44901</v>
      </c>
      <c r="J10" s="53"/>
      <c r="K10" s="54" t="s">
        <v>58</v>
      </c>
      <c r="L10" s="55" t="s">
        <v>75</v>
      </c>
    </row>
    <row r="11" s="66" customFormat="true" ht="46.25" hidden="true" customHeight="false" outlineLevel="0" collapsed="false">
      <c r="A11" s="28" t="n">
        <f aca="false">IF(B10="","",A10+1)</f>
        <v>9</v>
      </c>
      <c r="B11" s="56" t="s">
        <v>85</v>
      </c>
      <c r="C11" s="57" t="s">
        <v>86</v>
      </c>
      <c r="D11" s="57" t="s">
        <v>87</v>
      </c>
      <c r="E11" s="58" t="s">
        <v>88</v>
      </c>
      <c r="F11" s="59" t="s">
        <v>88</v>
      </c>
      <c r="G11" s="60" t="str">
        <f aca="false">IF(E11 = "High", VLOOKUP(F11,'Risk Chart'!$B$2:$C$6,2),IF(E11 = "Very High", VLOOKUP(F11,'Risk Chart'!$B$17:$C$21,2),IF(E11 = "Very Low", VLOOKUP(F11,'Risk Chart'!$B$22:$C$26,2),IF(E11 = "Low", VLOOKUP(F11,'Risk Chart'!$B$7:$C$11,2),IF(E11 = "Medium", VLOOKUP(F11,'Risk Chart'!$B$12:$C$16,2), "")))))</f>
        <v>Medium</v>
      </c>
      <c r="H11" s="61" t="s">
        <v>56</v>
      </c>
      <c r="I11" s="62" t="s">
        <v>89</v>
      </c>
      <c r="J11" s="63"/>
      <c r="K11" s="64" t="s">
        <v>58</v>
      </c>
      <c r="L11" s="65" t="s">
        <v>90</v>
      </c>
    </row>
    <row r="12" customFormat="false" ht="61.15" hidden="true" customHeight="false" outlineLevel="0" collapsed="false">
      <c r="A12" s="38" t="n">
        <f aca="false">IF(B11="","",A11+1)</f>
        <v>10</v>
      </c>
      <c r="B12" s="39" t="s">
        <v>91</v>
      </c>
      <c r="C12" s="67" t="s">
        <v>92</v>
      </c>
      <c r="D12" s="68" t="s">
        <v>93</v>
      </c>
      <c r="E12" s="69" t="s">
        <v>55</v>
      </c>
      <c r="F12" s="70" t="s">
        <v>55</v>
      </c>
      <c r="G12" s="71" t="str">
        <f aca="false">IF(E12 = "High", VLOOKUP(F12,'Risk Chart'!$B$2:$C$6,2),IF(E12 = "Very High", VLOOKUP(F12,'Risk Chart'!$B$17:$C$21,2),IF(E12 = "Very Low", VLOOKUP(F12,'Risk Chart'!$B$22:$C$26,2),IF(E12 = "Low", VLOOKUP(F12,'Risk Chart'!$B$7:$C$11,2),IF(E12 = "Medium", VLOOKUP(F12,'Risk Chart'!$B$12:$C$16,2), "")))))</f>
        <v>High</v>
      </c>
      <c r="H12" s="59" t="s">
        <v>56</v>
      </c>
      <c r="I12" s="46" t="s">
        <v>94</v>
      </c>
      <c r="J12" s="72"/>
      <c r="K12" s="54" t="s">
        <v>58</v>
      </c>
      <c r="L12" s="73" t="s">
        <v>95</v>
      </c>
    </row>
    <row r="13" customFormat="false" ht="30.75" hidden="true" customHeight="false" outlineLevel="0" collapsed="false">
      <c r="A13" s="38" t="n">
        <f aca="false">IF(B12="","",A12+1)</f>
        <v>11</v>
      </c>
      <c r="B13" s="57" t="s">
        <v>85</v>
      </c>
      <c r="C13" s="74" t="s">
        <v>96</v>
      </c>
      <c r="D13" s="48" t="s">
        <v>97</v>
      </c>
      <c r="E13" s="49" t="s">
        <v>55</v>
      </c>
      <c r="F13" s="49" t="s">
        <v>98</v>
      </c>
      <c r="G13" s="51" t="str">
        <f aca="false">IF(E13 = "High", VLOOKUP(F13,'Risk Chart'!$B$2:$C$6,2),IF(E13 = "Very High", VLOOKUP(F13,'Risk Chart'!$B$17:$C$21,2),IF(E13 = "Very Low", VLOOKUP(F13,'Risk Chart'!$B$22:$C$26,2),IF(E13 = "Low", VLOOKUP(F13,'Risk Chart'!$B$7:$C$11,2),IF(E13 = "Medium", VLOOKUP(F13,'Risk Chart'!$B$12:$C$16,2), "")))))</f>
        <v>Very High</v>
      </c>
      <c r="H13" s="59" t="s">
        <v>56</v>
      </c>
      <c r="I13" s="53" t="s">
        <v>99</v>
      </c>
      <c r="J13" s="53"/>
      <c r="K13" s="54" t="s">
        <v>58</v>
      </c>
      <c r="L13" s="75" t="s">
        <v>100</v>
      </c>
    </row>
    <row r="14" customFormat="false" ht="30.75" hidden="true" customHeight="false" outlineLevel="0" collapsed="false">
      <c r="A14" s="38" t="n">
        <f aca="false">IF(B13="","",A13+1)</f>
        <v>12</v>
      </c>
      <c r="B14" s="39" t="s">
        <v>101</v>
      </c>
      <c r="C14" s="76" t="s">
        <v>102</v>
      </c>
      <c r="D14" s="48" t="s">
        <v>103</v>
      </c>
      <c r="E14" s="49" t="s">
        <v>88</v>
      </c>
      <c r="F14" s="50" t="s">
        <v>55</v>
      </c>
      <c r="G14" s="51" t="str">
        <f aca="false">IF(E14 = "High", VLOOKUP(F14,'Risk Chart'!$B$2:$C$6,2),IF(E14 = "Very High", VLOOKUP(F14,'Risk Chart'!$B$17:$C$21,2),IF(E14 = "Very Low", VLOOKUP(F14,'Risk Chart'!$B$22:$C$26,2),IF(E14 = "Low", VLOOKUP(F14,'Risk Chart'!$B$7:$C$11,2),IF(E14 = "Medium", VLOOKUP(F14,'Risk Chart'!$B$12:$C$16,2), "")))))</f>
        <v>High</v>
      </c>
      <c r="H14" s="50" t="s">
        <v>104</v>
      </c>
      <c r="I14" s="53" t="s">
        <v>105</v>
      </c>
      <c r="J14" s="43" t="n">
        <v>45208</v>
      </c>
      <c r="K14" s="54" t="s">
        <v>58</v>
      </c>
      <c r="L14" s="77" t="s">
        <v>106</v>
      </c>
    </row>
    <row r="15" customFormat="false" ht="28.35" hidden="true" customHeight="false" outlineLevel="0" collapsed="false">
      <c r="A15" s="38" t="n">
        <f aca="false">IF(B14="","",A14+1)</f>
        <v>13</v>
      </c>
      <c r="B15" s="78" t="s">
        <v>107</v>
      </c>
      <c r="C15" s="79" t="s">
        <v>108</v>
      </c>
      <c r="D15" s="80" t="s">
        <v>109</v>
      </c>
      <c r="E15" s="40" t="s">
        <v>88</v>
      </c>
      <c r="F15" s="40" t="s">
        <v>88</v>
      </c>
      <c r="G15" s="42" t="str">
        <f aca="false">IF(E15 = "High", VLOOKUP(F15,'Risk Chart'!$B$2:$C$6,2),IF(E15 = "Very High", VLOOKUP(F15,'Risk Chart'!$B$17:$C$21,2),IF(E15 = "Very Low", VLOOKUP(F15,'Risk Chart'!$B$22:$C$26,2),IF(E15 = "Low", VLOOKUP(F15,'Risk Chart'!$B$7:$C$11,2),IF(E15 = "Medium", VLOOKUP(F15,'Risk Chart'!$B$12:$C$16,2), "")))))</f>
        <v>Medium</v>
      </c>
      <c r="H15" s="59" t="s">
        <v>56</v>
      </c>
      <c r="I15" s="46" t="s">
        <v>94</v>
      </c>
      <c r="J15" s="81" t="n">
        <v>45285</v>
      </c>
      <c r="K15" s="54" t="s">
        <v>58</v>
      </c>
      <c r="L15" s="45" t="s">
        <v>110</v>
      </c>
    </row>
    <row r="16" customFormat="false" ht="30.75" hidden="true" customHeight="false" outlineLevel="0" collapsed="false">
      <c r="A16" s="38" t="n">
        <f aca="false">IF(B15="","",A15+1)</f>
        <v>14</v>
      </c>
      <c r="B16" s="39" t="s">
        <v>111</v>
      </c>
      <c r="C16" s="79" t="s">
        <v>108</v>
      </c>
      <c r="D16" s="39" t="s">
        <v>112</v>
      </c>
      <c r="E16" s="40" t="s">
        <v>88</v>
      </c>
      <c r="F16" s="40" t="s">
        <v>88</v>
      </c>
      <c r="G16" s="42" t="str">
        <f aca="false">IF(E16 = "High", VLOOKUP(F16,'Risk Chart'!$B$2:$C$6,2),IF(E16 = "Very High", VLOOKUP(F16,'Risk Chart'!$B$17:$C$21,2),IF(E16 = "Very Low", VLOOKUP(F16,'Risk Chart'!$B$22:$C$26,2),IF(E16 = "Low", VLOOKUP(F16,'Risk Chart'!$B$7:$C$11,2),IF(E16 = "Medium", VLOOKUP(F16,'Risk Chart'!$B$12:$C$16,2), "")))))</f>
        <v>Medium</v>
      </c>
      <c r="H16" s="59" t="s">
        <v>56</v>
      </c>
      <c r="I16" s="46" t="s">
        <v>94</v>
      </c>
      <c r="J16" s="81" t="n">
        <v>45285</v>
      </c>
      <c r="K16" s="54" t="s">
        <v>58</v>
      </c>
      <c r="L16" s="45" t="s">
        <v>110</v>
      </c>
    </row>
    <row r="17" customFormat="false" ht="344.75" hidden="true" customHeight="false" outlineLevel="0" collapsed="false">
      <c r="A17" s="38" t="n">
        <v>15</v>
      </c>
      <c r="B17" s="39" t="s">
        <v>113</v>
      </c>
      <c r="C17" s="82" t="s">
        <v>114</v>
      </c>
      <c r="D17" s="39" t="s">
        <v>115</v>
      </c>
      <c r="E17" s="41" t="s">
        <v>88</v>
      </c>
      <c r="F17" s="41" t="s">
        <v>88</v>
      </c>
      <c r="G17" s="42" t="str">
        <f aca="false">IF(E17 = "High", VLOOKUP(F17,'Risk Chart'!$B$2:$C$6,2),IF(E17 = "Very High", VLOOKUP(F17,'Risk Chart'!$B$17:$C$21,2),IF(E17 = "Very Low", VLOOKUP(F17,'Risk Chart'!$B$22:$C$26,2),IF(E17 = "Low", VLOOKUP(F17,'Risk Chart'!$B$7:$C$11,2),IF(E17 = "Medium", VLOOKUP(F17,'Risk Chart'!$B$12:$C$16,2), "")))))</f>
        <v>Medium</v>
      </c>
      <c r="H17" s="41" t="s">
        <v>104</v>
      </c>
      <c r="I17" s="46" t="s">
        <v>116</v>
      </c>
      <c r="J17" s="43" t="n">
        <v>45209</v>
      </c>
      <c r="K17" s="44" t="s">
        <v>58</v>
      </c>
      <c r="L17" s="83" t="s">
        <v>117</v>
      </c>
    </row>
    <row r="18" customFormat="false" ht="76.1" hidden="true" customHeight="false" outlineLevel="0" collapsed="false">
      <c r="A18" s="38" t="n">
        <f aca="false">IF(B17="","",A17+1)</f>
        <v>16</v>
      </c>
      <c r="B18" s="39" t="s">
        <v>118</v>
      </c>
      <c r="C18" s="82" t="s">
        <v>114</v>
      </c>
      <c r="D18" s="39" t="s">
        <v>119</v>
      </c>
      <c r="E18" s="40" t="s">
        <v>88</v>
      </c>
      <c r="F18" s="40" t="s">
        <v>88</v>
      </c>
      <c r="G18" s="42" t="str">
        <f aca="false">IF(E18 = "High", VLOOKUP(F18,'Risk Chart'!$B$2:$C$6,2),IF(E18 = "Very High", VLOOKUP(F18,'Risk Chart'!$B$17:$C$21,2),IF(E18 = "Very Low", VLOOKUP(F18,'Risk Chart'!$B$22:$C$26,2),IF(E18 = "Low", VLOOKUP(F18,'Risk Chart'!$B$7:$C$11,2),IF(E18 = "Medium", VLOOKUP(F18,'Risk Chart'!$B$12:$C$16,2), "")))))</f>
        <v>Medium</v>
      </c>
      <c r="H18" s="41" t="s">
        <v>104</v>
      </c>
      <c r="I18" s="46" t="s">
        <v>116</v>
      </c>
      <c r="J18" s="43" t="n">
        <v>45209</v>
      </c>
      <c r="K18" s="44" t="s">
        <v>58</v>
      </c>
      <c r="L18" s="84" t="s">
        <v>120</v>
      </c>
    </row>
    <row r="19" customFormat="false" ht="91" hidden="true" customHeight="false" outlineLevel="0" collapsed="false">
      <c r="A19" s="38" t="n">
        <f aca="false">IF(B18="","",A18+1)</f>
        <v>17</v>
      </c>
      <c r="B19" s="39" t="s">
        <v>121</v>
      </c>
      <c r="C19" s="82" t="s">
        <v>114</v>
      </c>
      <c r="D19" s="39" t="s">
        <v>122</v>
      </c>
      <c r="E19" s="40" t="s">
        <v>88</v>
      </c>
      <c r="F19" s="40" t="s">
        <v>88</v>
      </c>
      <c r="G19" s="42" t="str">
        <f aca="false">IF(E19 = "High", VLOOKUP(F19,'Risk Chart'!$B$2:$C$6,2),IF(E19 = "Very High", VLOOKUP(F19,'Risk Chart'!$B$17:$C$21,2),IF(E19 = "Very Low", VLOOKUP(F19,'Risk Chart'!$B$22:$C$26,2),IF(E19 = "Low", VLOOKUP(F19,'Risk Chart'!$B$7:$C$11,2),IF(E19 = "Medium", VLOOKUP(F19,'Risk Chart'!$B$12:$C$16,2), "")))))</f>
        <v>Medium</v>
      </c>
      <c r="H19" s="41" t="s">
        <v>104</v>
      </c>
      <c r="I19" s="46" t="s">
        <v>116</v>
      </c>
      <c r="J19" s="43" t="n">
        <v>45209</v>
      </c>
      <c r="K19" s="44" t="s">
        <v>58</v>
      </c>
      <c r="L19" s="84" t="s">
        <v>123</v>
      </c>
    </row>
    <row r="20" customFormat="false" ht="76.1" hidden="true" customHeight="false" outlineLevel="0" collapsed="false">
      <c r="A20" s="47" t="n">
        <f aca="false">IF(B19="","",A19+1)</f>
        <v>18</v>
      </c>
      <c r="B20" s="48" t="s">
        <v>124</v>
      </c>
      <c r="C20" s="76" t="s">
        <v>114</v>
      </c>
      <c r="D20" s="48" t="s">
        <v>125</v>
      </c>
      <c r="E20" s="40" t="s">
        <v>88</v>
      </c>
      <c r="F20" s="40" t="s">
        <v>88</v>
      </c>
      <c r="G20" s="42" t="str">
        <f aca="false">IF(E20 = "High", VLOOKUP(F20,'Risk Chart'!$B$2:$C$6,2),IF(E20 = "Very High", VLOOKUP(F20,'Risk Chart'!$B$17:$C$21,2),IF(E20 = "Very Low", VLOOKUP(F20,'Risk Chart'!$B$22:$C$26,2),IF(E20 = "Low", VLOOKUP(F20,'Risk Chart'!$B$7:$C$11,2),IF(E20 = "Medium", VLOOKUP(F20,'Risk Chart'!$B$12:$C$16,2), "")))))</f>
        <v>Medium</v>
      </c>
      <c r="H20" s="41" t="s">
        <v>104</v>
      </c>
      <c r="I20" s="46" t="s">
        <v>116</v>
      </c>
      <c r="J20" s="43" t="n">
        <v>45209</v>
      </c>
      <c r="K20" s="44" t="s">
        <v>58</v>
      </c>
      <c r="L20" s="85" t="s">
        <v>126</v>
      </c>
    </row>
    <row r="21" customFormat="false" ht="60.75" hidden="true" customHeight="false" outlineLevel="0" collapsed="false">
      <c r="A21" s="47" t="n">
        <v>19</v>
      </c>
      <c r="B21" s="48" t="s">
        <v>127</v>
      </c>
      <c r="C21" s="48" t="s">
        <v>114</v>
      </c>
      <c r="D21" s="48" t="s">
        <v>128</v>
      </c>
      <c r="E21" s="86" t="s">
        <v>88</v>
      </c>
      <c r="F21" s="49" t="s">
        <v>88</v>
      </c>
      <c r="G21" s="51" t="str">
        <f aca="false">IF(E21 = "High", VLOOKUP(F21,'Risk Chart'!$B$2:$C$6,2),IF(E21 = "Very High", VLOOKUP(F21,'Risk Chart'!$B$17:$C$21,2),IF(E21 = "Very Low", VLOOKUP(F21,'Risk Chart'!$B$22:$C$26,2),IF(E21 = "Low", VLOOKUP(F21,'Risk Chart'!$B$7:$C$11,2),IF(E21 = "Medium", VLOOKUP(F21,'Risk Chart'!$B$12:$C$16,2), "")))))</f>
        <v>Medium</v>
      </c>
      <c r="H21" s="50" t="s">
        <v>104</v>
      </c>
      <c r="I21" s="53" t="s">
        <v>129</v>
      </c>
      <c r="J21" s="52" t="n">
        <v>45209</v>
      </c>
      <c r="K21" s="54" t="s">
        <v>58</v>
      </c>
      <c r="L21" s="87" t="s">
        <v>130</v>
      </c>
    </row>
    <row r="22" customFormat="false" ht="120.85" hidden="true" customHeight="false" outlineLevel="0" collapsed="false">
      <c r="A22" s="47" t="n">
        <f aca="false">IF(B21="","",A21+1)</f>
        <v>20</v>
      </c>
      <c r="B22" s="88" t="s">
        <v>131</v>
      </c>
      <c r="C22" s="48" t="s">
        <v>114</v>
      </c>
      <c r="D22" s="48" t="s">
        <v>132</v>
      </c>
      <c r="E22" s="86" t="s">
        <v>55</v>
      </c>
      <c r="F22" s="50" t="s">
        <v>55</v>
      </c>
      <c r="G22" s="51" t="str">
        <f aca="false">IF(E22 = "High", VLOOKUP(F22,'Risk Chart'!$B$2:$C$6,2),IF(E22 = "Very High", VLOOKUP(F22,'Risk Chart'!$B$17:$C$21,2),IF(E22 = "Very Low", VLOOKUP(F22,'Risk Chart'!$B$22:$C$26,2),IF(E22 = "Low", VLOOKUP(F22,'Risk Chart'!$B$7:$C$11,2),IF(E22 = "Medium", VLOOKUP(F22,'Risk Chart'!$B$12:$C$16,2), "")))))</f>
        <v>High</v>
      </c>
      <c r="H22" s="50" t="s">
        <v>133</v>
      </c>
      <c r="I22" s="89" t="n">
        <v>45231</v>
      </c>
      <c r="J22" s="90" t="n">
        <v>45261</v>
      </c>
      <c r="K22" s="54" t="s">
        <v>58</v>
      </c>
      <c r="L22" s="91" t="s">
        <v>134</v>
      </c>
    </row>
    <row r="23" customFormat="false" ht="46.25" hidden="true" customHeight="false" outlineLevel="0" collapsed="false">
      <c r="A23" s="38" t="n">
        <f aca="false">IF(B22="","",A22+1)</f>
        <v>21</v>
      </c>
      <c r="B23" s="39" t="s">
        <v>135</v>
      </c>
      <c r="C23" s="39" t="s">
        <v>136</v>
      </c>
      <c r="D23" s="39" t="s">
        <v>137</v>
      </c>
      <c r="E23" s="40" t="s">
        <v>55</v>
      </c>
      <c r="F23" s="40" t="s">
        <v>55</v>
      </c>
      <c r="G23" s="42" t="str">
        <f aca="false">IF(E23 = "High", VLOOKUP(F23,'Risk Chart'!$B$2:$C$6,2),IF(E23 = "Very High", VLOOKUP(F23,'Risk Chart'!$B$17:$C$21,2),IF(E23 = "Very Low", VLOOKUP(F23,'Risk Chart'!$B$22:$C$26,2),IF(E23 = "Low", VLOOKUP(F23,'Risk Chart'!$B$7:$C$11,2),IF(E23 = "Medium", VLOOKUP(F23,'Risk Chart'!$B$12:$C$16,2), "")))))</f>
        <v>High</v>
      </c>
      <c r="H23" s="41" t="s">
        <v>138</v>
      </c>
      <c r="I23" s="81" t="n">
        <v>45307</v>
      </c>
      <c r="J23" s="90" t="n">
        <v>45316</v>
      </c>
      <c r="K23" s="44" t="s">
        <v>58</v>
      </c>
      <c r="L23" s="45"/>
    </row>
    <row r="24" s="45" customFormat="true" ht="76.1" hidden="true" customHeight="false" outlineLevel="0" collapsed="false">
      <c r="A24" s="47" t="n">
        <f aca="false">IF(B23="","",A23+1)</f>
        <v>22</v>
      </c>
      <c r="B24" s="48" t="s">
        <v>139</v>
      </c>
      <c r="C24" s="48" t="s">
        <v>140</v>
      </c>
      <c r="D24" s="48" t="s">
        <v>141</v>
      </c>
      <c r="E24" s="49" t="s">
        <v>142</v>
      </c>
      <c r="F24" s="49" t="s">
        <v>142</v>
      </c>
      <c r="G24" s="49" t="s">
        <v>55</v>
      </c>
      <c r="H24" s="50" t="s">
        <v>138</v>
      </c>
      <c r="I24" s="90" t="n">
        <v>45307</v>
      </c>
      <c r="J24" s="90" t="n">
        <v>45316</v>
      </c>
      <c r="K24" s="54" t="s">
        <v>58</v>
      </c>
      <c r="L24" s="55"/>
      <c r="M24" s="32"/>
      <c r="N24" s="32"/>
      <c r="O24" s="32"/>
      <c r="P24" s="32"/>
      <c r="Q24" s="32"/>
      <c r="R24" s="32"/>
      <c r="S24" s="32"/>
    </row>
    <row r="25" customFormat="false" ht="76.1" hidden="false" customHeight="false" outlineLevel="0" collapsed="false">
      <c r="A25" s="38" t="n">
        <f aca="false">IF(B24="","",A24+1)</f>
        <v>23</v>
      </c>
      <c r="B25" s="39" t="s">
        <v>143</v>
      </c>
      <c r="C25" s="39" t="s">
        <v>144</v>
      </c>
      <c r="D25" s="39" t="s">
        <v>145</v>
      </c>
      <c r="E25" s="40" t="s">
        <v>55</v>
      </c>
      <c r="F25" s="41" t="s">
        <v>142</v>
      </c>
      <c r="G25" s="42" t="str">
        <f aca="false">IF(E25 = "High", VLOOKUP(F25,'Risk Chart'!$B$2:$C$6,2),IF(E25 = "Very High", VLOOKUP(F25,'Risk Chart'!$B$17:$C$21,2),IF(E25 = "Very Low", VLOOKUP(F25,'Risk Chart'!$B$22:$C$26,2),IF(E25 = "Low", VLOOKUP(F25,'Risk Chart'!$B$7:$C$11,2),IF(E25 = "Medium", VLOOKUP(F25,'Risk Chart'!$B$12:$C$16,2), "")))))</f>
        <v>Medium</v>
      </c>
      <c r="H25" s="41" t="s">
        <v>146</v>
      </c>
      <c r="I25" s="81" t="n">
        <v>45307</v>
      </c>
      <c r="J25" s="46"/>
      <c r="K25" s="44" t="s">
        <v>58</v>
      </c>
      <c r="L25" s="92" t="s">
        <v>147</v>
      </c>
      <c r="M25" s="45"/>
      <c r="N25" s="45"/>
      <c r="O25" s="45"/>
      <c r="P25" s="45"/>
      <c r="Q25" s="45"/>
      <c r="R25" s="45"/>
      <c r="S25" s="45"/>
    </row>
    <row r="26" customFormat="false" ht="60.75" hidden="false" customHeight="false" outlineLevel="0" collapsed="false">
      <c r="A26" s="38" t="n">
        <f aca="false">IF(B25="","",A25+1)</f>
        <v>24</v>
      </c>
      <c r="B26" s="39" t="s">
        <v>148</v>
      </c>
      <c r="C26" s="39" t="s">
        <v>149</v>
      </c>
      <c r="D26" s="39" t="s">
        <v>150</v>
      </c>
      <c r="E26" s="40" t="s">
        <v>55</v>
      </c>
      <c r="F26" s="41" t="s">
        <v>142</v>
      </c>
      <c r="G26" s="42" t="str">
        <f aca="false">IF(E26 = "High", VLOOKUP(F26,'Risk Chart'!$B$2:$C$6,2),IF(E26 = "Very High", VLOOKUP(F26,'Risk Chart'!$B$17:$C$21,2),IF(E26 = "Very Low", VLOOKUP(F26,'Risk Chart'!$B$22:$C$26,2),IF(E26 = "Low", VLOOKUP(F26,'Risk Chart'!$B$7:$C$11,2),IF(E26 = "Medium", VLOOKUP(F26,'Risk Chart'!$B$12:$C$16,2), "")))))</f>
        <v>Medium</v>
      </c>
      <c r="H26" s="41" t="s">
        <v>151</v>
      </c>
      <c r="I26" s="81" t="n">
        <v>45322</v>
      </c>
      <c r="J26" s="46"/>
      <c r="K26" s="44" t="s">
        <v>58</v>
      </c>
      <c r="L26" s="92" t="s">
        <v>152</v>
      </c>
    </row>
    <row r="27" customFormat="false" ht="15" hidden="true" customHeight="false" outlineLevel="0" collapsed="false">
      <c r="A27" s="93"/>
      <c r="B27" s="94"/>
      <c r="C27" s="94"/>
      <c r="D27" s="94"/>
      <c r="E27" s="95"/>
      <c r="F27" s="96"/>
      <c r="G27" s="97" t="str">
        <f aca="false">IF(E27 = "High", VLOOKUP(F27,'Risk Chart'!$B$2:$C$6,2),IF(E27 = "Very High", VLOOKUP(F27,'Risk Chart'!$B$17:$C$21,2),IF(E27 = "Very Low", VLOOKUP(F27,'Risk Chart'!$B$22:$C$26,2),IF(E27 = "Low", VLOOKUP(F27,'Risk Chart'!$B$7:$C$11,2),IF(E27 = "Medium", VLOOKUP(F27,'Risk Chart'!$B$12:$C$16,2), "")))))</f>
        <v/>
      </c>
      <c r="H27" s="96"/>
      <c r="I27" s="98"/>
      <c r="J27" s="98"/>
      <c r="K27" s="99"/>
    </row>
    <row r="28" customFormat="false" ht="15" hidden="true" customHeight="false" outlineLevel="0" collapsed="false">
      <c r="A28" s="93" t="str">
        <f aca="false">IF(B27="","",A27+1)</f>
        <v/>
      </c>
      <c r="B28" s="94"/>
      <c r="C28" s="94"/>
      <c r="D28" s="94"/>
      <c r="E28" s="95"/>
      <c r="F28" s="96"/>
      <c r="G28" s="97" t="str">
        <f aca="false">IF(E28 = "High", VLOOKUP(F28,'Risk Chart'!$B$2:$C$6,2),IF(E28 = "Very High", VLOOKUP(F28,'Risk Chart'!$B$17:$C$21,2),IF(E28 = "Very Low", VLOOKUP(F28,'Risk Chart'!$B$22:$C$26,2),IF(E28 = "Low", VLOOKUP(F28,'Risk Chart'!$B$7:$C$11,2),IF(E28 = "Medium", VLOOKUP(F28,'Risk Chart'!$B$12:$C$16,2), "")))))</f>
        <v/>
      </c>
      <c r="H28" s="96"/>
      <c r="I28" s="98"/>
      <c r="J28" s="98"/>
      <c r="K28" s="99"/>
    </row>
    <row r="29" customFormat="false" ht="15" hidden="true" customHeight="false" outlineLevel="0" collapsed="false">
      <c r="A29" s="93" t="str">
        <f aca="false">IF(B28="","",A28+1)</f>
        <v/>
      </c>
      <c r="B29" s="94"/>
      <c r="C29" s="94"/>
      <c r="D29" s="94"/>
      <c r="E29" s="95"/>
      <c r="F29" s="96"/>
      <c r="G29" s="97" t="str">
        <f aca="false">IF(E29 = "High", VLOOKUP(F29,'Risk Chart'!$B$2:$C$6,2),IF(E29 = "Very High", VLOOKUP(F29,'Risk Chart'!$B$17:$C$21,2),IF(E29 = "Very Low", VLOOKUP(F29,'Risk Chart'!$B$22:$C$26,2),IF(E29 = "Low", VLOOKUP(F29,'Risk Chart'!$B$7:$C$11,2),IF(E29 = "Medium", VLOOKUP(F29,'Risk Chart'!$B$12:$C$16,2), "")))))</f>
        <v/>
      </c>
      <c r="H29" s="96"/>
      <c r="I29" s="98"/>
      <c r="J29" s="98"/>
      <c r="K29" s="99"/>
    </row>
    <row r="30" customFormat="false" ht="15" hidden="true" customHeight="false" outlineLevel="0" collapsed="false">
      <c r="A30" s="93" t="str">
        <f aca="false">IF(B29="","",A29+1)</f>
        <v/>
      </c>
      <c r="B30" s="94"/>
      <c r="C30" s="94"/>
      <c r="D30" s="94"/>
      <c r="E30" s="95"/>
      <c r="F30" s="96"/>
      <c r="G30" s="97" t="str">
        <f aca="false">IF(E30 = "High", VLOOKUP(F30,'Risk Chart'!$B$2:$C$6,2),IF(E30 = "Very High", VLOOKUP(F30,'Risk Chart'!$B$17:$C$21,2),IF(E30 = "Very Low", VLOOKUP(F30,'Risk Chart'!$B$22:$C$26,2),IF(E30 = "Low", VLOOKUP(F30,'Risk Chart'!$B$7:$C$11,2),IF(E30 = "Medium", VLOOKUP(F30,'Risk Chart'!$B$12:$C$16,2), "")))))</f>
        <v/>
      </c>
      <c r="H30" s="96"/>
      <c r="I30" s="98"/>
      <c r="J30" s="98"/>
      <c r="K30" s="99"/>
    </row>
    <row r="31" customFormat="false" ht="15" hidden="true" customHeight="false" outlineLevel="0" collapsed="false">
      <c r="G31" s="97" t="str">
        <f aca="false">IF(E31 = "High", VLOOKUP(F31,'Risk Chart'!$B$2:$C$6,2),IF(E31 = "Very High", VLOOKUP(F31,'Risk Chart'!$B$17:$C$21,2),IF(E31 = "Very Low", VLOOKUP(F31,'Risk Chart'!$B$22:$C$26,2),IF(E31 = "Low", VLOOKUP(F31,'Risk Chart'!$B$7:$C$11,2),IF(E31 = "Medium", VLOOKUP(F31,'Risk Chart'!$B$12:$C$16,2), "")))))</f>
        <v/>
      </c>
    </row>
    <row r="32" customFormat="false" ht="15" hidden="true" customHeight="false" outlineLevel="0" collapsed="false">
      <c r="G32" s="97" t="str">
        <f aca="false">IF(E32 = "High", VLOOKUP(F32,'Risk Chart'!$B$2:$C$6,2),IF(E32 = "Very High", VLOOKUP(F32,'Risk Chart'!$B$17:$C$21,2),IF(E32 = "Very Low", VLOOKUP(F32,'Risk Chart'!$B$22:$C$26,2),IF(E32 = "Low", VLOOKUP(F32,'Risk Chart'!$B$7:$C$11,2),IF(E32 = "Medium", VLOOKUP(F32,'Risk Chart'!$B$12:$C$16,2), "")))))</f>
        <v/>
      </c>
    </row>
    <row r="33" customFormat="false" ht="15" hidden="true" customHeight="false" outlineLevel="0" collapsed="false">
      <c r="G33" s="97" t="str">
        <f aca="false">IF(E33 = "High", VLOOKUP(F33,'Risk Chart'!$B$2:$C$6,2),IF(E33 = "Very High", VLOOKUP(F33,'Risk Chart'!$B$17:$C$21,2),IF(E33 = "Very Low", VLOOKUP(F33,'Risk Chart'!$B$22:$C$26,2),IF(E33 = "Low", VLOOKUP(F33,'Risk Chart'!$B$7:$C$11,2),IF(E33 = "Medium", VLOOKUP(F33,'Risk Chart'!$B$12:$C$16,2), "")))))</f>
        <v/>
      </c>
    </row>
    <row r="34" customFormat="false" ht="15" hidden="true" customHeight="false" outlineLevel="0" collapsed="false">
      <c r="G34" s="97" t="str">
        <f aca="false">IF(E34 = "High", VLOOKUP(F34,'Risk Chart'!$B$2:$C$6,2),IF(E34 = "Very High", VLOOKUP(F34,'Risk Chart'!$B$17:$C$21,2),IF(E34 = "Very Low", VLOOKUP(F34,'Risk Chart'!$B$22:$C$26,2),IF(E34 = "Low", VLOOKUP(F34,'Risk Chart'!$B$7:$C$11,2),IF(E34 = "Medium", VLOOKUP(F34,'Risk Chart'!$B$12:$C$16,2), "")))))</f>
        <v/>
      </c>
    </row>
    <row r="35" customFormat="false" ht="15" hidden="true" customHeight="false" outlineLevel="0" collapsed="false">
      <c r="G35" s="97" t="str">
        <f aca="false">IF(E35 = "High", VLOOKUP(F35,'Risk Chart'!$B$2:$C$6,2),IF(E35 = "Very High", VLOOKUP(F35,'Risk Chart'!$B$17:$C$21,2),IF(E35 = "Very Low", VLOOKUP(F35,'Risk Chart'!$B$22:$C$26,2),IF(E35 = "Low", VLOOKUP(F35,'Risk Chart'!$B$7:$C$11,2),IF(E35 = "Medium", VLOOKUP(F35,'Risk Chart'!$B$12:$C$16,2), "")))))</f>
        <v/>
      </c>
    </row>
    <row r="36" customFormat="false" ht="15" hidden="true" customHeight="false" outlineLevel="0" collapsed="false">
      <c r="G36" s="97" t="str">
        <f aca="false">IF(E36 = "High", VLOOKUP(F36,'Risk Chart'!$B$2:$C$6,2),IF(E36 = "Very High", VLOOKUP(F36,'Risk Chart'!$B$17:$C$21,2),IF(E36 = "Very Low", VLOOKUP(F36,'Risk Chart'!$B$22:$C$26,2),IF(E36 = "Low", VLOOKUP(F36,'Risk Chart'!$B$7:$C$11,2),IF(E36 = "Medium", VLOOKUP(F36,'Risk Chart'!$B$12:$C$16,2), "")))))</f>
        <v/>
      </c>
    </row>
    <row r="37" customFormat="false" ht="15" hidden="true" customHeight="false" outlineLevel="0" collapsed="false">
      <c r="G37" s="97" t="str">
        <f aca="false">IF(E37 = "High", VLOOKUP(F37,'Risk Chart'!$B$2:$C$6,2),IF(E37 = "Very High", VLOOKUP(F37,'Risk Chart'!$B$17:$C$21,2),IF(E37 = "Very Low", VLOOKUP(F37,'Risk Chart'!$B$22:$C$26,2),IF(E37 = "Low", VLOOKUP(F37,'Risk Chart'!$B$7:$C$11,2),IF(E37 = "Medium", VLOOKUP(F37,'Risk Chart'!$B$12:$C$16,2), "")))))</f>
        <v/>
      </c>
    </row>
    <row r="38" customFormat="false" ht="15" hidden="true" customHeight="false" outlineLevel="0" collapsed="false">
      <c r="G38" s="97" t="str">
        <f aca="false">IF(E38 = "High", VLOOKUP(F38,'Risk Chart'!$B$2:$C$6,2),IF(E38 = "Very High", VLOOKUP(F38,'Risk Chart'!$B$17:$C$21,2),IF(E38 = "Very Low", VLOOKUP(F38,'Risk Chart'!$B$22:$C$26,2),IF(E38 = "Low", VLOOKUP(F38,'Risk Chart'!$B$7:$C$11,2),IF(E38 = "Medium", VLOOKUP(F38,'Risk Chart'!$B$12:$C$16,2), "")))))</f>
        <v/>
      </c>
    </row>
    <row r="39" customFormat="false" ht="15" hidden="true" customHeight="false" outlineLevel="0" collapsed="false">
      <c r="G39" s="97" t="str">
        <f aca="false">IF(E39 = "High", VLOOKUP(F39,'Risk Chart'!$B$2:$C$6,2),IF(E39 = "Very High", VLOOKUP(F39,'Risk Chart'!$B$17:$C$21,2),IF(E39 = "Very Low", VLOOKUP(F39,'Risk Chart'!$B$22:$C$26,2),IF(E39 = "Low", VLOOKUP(F39,'Risk Chart'!$B$7:$C$11,2),IF(E39 = "Medium", VLOOKUP(F39,'Risk Chart'!$B$12:$C$16,2), "")))))</f>
        <v/>
      </c>
    </row>
    <row r="40" customFormat="false" ht="15" hidden="true" customHeight="false" outlineLevel="0" collapsed="false">
      <c r="G40" s="97" t="str">
        <f aca="false">IF(E40 = "High", VLOOKUP(F40,'Risk Chart'!$B$2:$C$6,2),IF(E40 = "Very High", VLOOKUP(F40,'Risk Chart'!$B$17:$C$21,2),IF(E40 = "Very Low", VLOOKUP(F40,'Risk Chart'!$B$22:$C$26,2),IF(E40 = "Low", VLOOKUP(F40,'Risk Chart'!$B$7:$C$11,2),IF(E40 = "Medium", VLOOKUP(F40,'Risk Chart'!$B$12:$C$16,2), "")))))</f>
        <v/>
      </c>
    </row>
    <row r="41" customFormat="false" ht="15" hidden="true" customHeight="false" outlineLevel="0" collapsed="false">
      <c r="G41" s="97" t="str">
        <f aca="false">IF(E41 = "High", VLOOKUP(F41,'Risk Chart'!$B$2:$C$6,2),IF(E41 = "Very High", VLOOKUP(F41,'Risk Chart'!$B$17:$C$21,2),IF(E41 = "Very Low", VLOOKUP(F41,'Risk Chart'!$B$22:$C$26,2),IF(E41 = "Low", VLOOKUP(F41,'Risk Chart'!$B$7:$C$11,2),IF(E41 = "Medium", VLOOKUP(F41,'Risk Chart'!$B$12:$C$16,2), "")))))</f>
        <v/>
      </c>
    </row>
    <row r="42" customFormat="false" ht="15" hidden="true" customHeight="false" outlineLevel="0" collapsed="false">
      <c r="G42" s="97" t="str">
        <f aca="false">IF(E42 = "High", VLOOKUP(F42,'Risk Chart'!$B$2:$C$6,2),IF(E42 = "Very High", VLOOKUP(F42,'Risk Chart'!$B$17:$C$21,2),IF(E42 = "Very Low", VLOOKUP(F42,'Risk Chart'!$B$22:$C$26,2),IF(E42 = "Low", VLOOKUP(F42,'Risk Chart'!$B$7:$C$11,2),IF(E42 = "Medium", VLOOKUP(F42,'Risk Chart'!$B$12:$C$16,2), "")))))</f>
        <v/>
      </c>
    </row>
    <row r="43" customFormat="false" ht="15" hidden="true" customHeight="false" outlineLevel="0" collapsed="false">
      <c r="G43" s="97" t="str">
        <f aca="false">IF(E43 = "High", VLOOKUP(F43,'Risk Chart'!$B$2:$C$6,2),IF(E43 = "Very High", VLOOKUP(F43,'Risk Chart'!$B$17:$C$21,2),IF(E43 = "Very Low", VLOOKUP(F43,'Risk Chart'!$B$22:$C$26,2),IF(E43 = "Low", VLOOKUP(F43,'Risk Chart'!$B$7:$C$11,2),IF(E43 = "Medium", VLOOKUP(F43,'Risk Chart'!$B$12:$C$16,2), "")))))</f>
        <v/>
      </c>
    </row>
    <row r="44" customFormat="false" ht="15" hidden="true" customHeight="false" outlineLevel="0" collapsed="false">
      <c r="G44" s="97" t="str">
        <f aca="false">IF(E44 = "High", VLOOKUP(F44,'Risk Chart'!$B$2:$C$6,2),IF(E44 = "Very High", VLOOKUP(F44,'Risk Chart'!$B$17:$C$21,2),IF(E44 = "Very Low", VLOOKUP(F44,'Risk Chart'!$B$22:$C$26,2),IF(E44 = "Low", VLOOKUP(F44,'Risk Chart'!$B$7:$C$11,2),IF(E44 = "Medium", VLOOKUP(F44,'Risk Chart'!$B$12:$C$16,2), "")))))</f>
        <v/>
      </c>
    </row>
    <row r="45" customFormat="false" ht="15" hidden="true" customHeight="false" outlineLevel="0" collapsed="false">
      <c r="G45" s="97" t="str">
        <f aca="false">IF(E45 = "High", VLOOKUP(F45,'Risk Chart'!$B$2:$C$6,2),IF(E45 = "Very High", VLOOKUP(F45,'Risk Chart'!$B$17:$C$21,2),IF(E45 = "Very Low", VLOOKUP(F45,'Risk Chart'!$B$22:$C$26,2),IF(E45 = "Low", VLOOKUP(F45,'Risk Chart'!$B$7:$C$11,2),IF(E45 = "Medium", VLOOKUP(F45,'Risk Chart'!$B$12:$C$16,2), "")))))</f>
        <v/>
      </c>
    </row>
    <row r="46" customFormat="false" ht="15" hidden="true" customHeight="false" outlineLevel="0" collapsed="false">
      <c r="G46" s="97" t="str">
        <f aca="false">IF(E46 = "High", VLOOKUP(F46,'Risk Chart'!$B$2:$C$6,2),IF(E46 = "Very High", VLOOKUP(F46,'Risk Chart'!$B$17:$C$21,2),IF(E46 = "Very Low", VLOOKUP(F46,'Risk Chart'!$B$22:$C$26,2),IF(E46 = "Low", VLOOKUP(F46,'Risk Chart'!$B$7:$C$11,2),IF(E46 = "Medium", VLOOKUP(F46,'Risk Chart'!$B$12:$C$16,2), "")))))</f>
        <v/>
      </c>
    </row>
    <row r="47" customFormat="false" ht="15" hidden="true" customHeight="false" outlineLevel="0" collapsed="false">
      <c r="G47" s="97" t="str">
        <f aca="false">IF(E47 = "High", VLOOKUP(F47,'Risk Chart'!$B$2:$C$6,2),IF(E47 = "Very High", VLOOKUP(F47,'Risk Chart'!$B$17:$C$21,2),IF(E47 = "Very Low", VLOOKUP(F47,'Risk Chart'!$B$22:$C$26,2),IF(E47 = "Low", VLOOKUP(F47,'Risk Chart'!$B$7:$C$11,2),IF(E47 = "Medium", VLOOKUP(F47,'Risk Chart'!$B$12:$C$16,2), "")))))</f>
        <v/>
      </c>
    </row>
    <row r="48" customFormat="false" ht="15" hidden="true" customHeight="false" outlineLevel="0" collapsed="false">
      <c r="G48" s="97" t="str">
        <f aca="false">IF(E48 = "High", VLOOKUP(F48,'Risk Chart'!$B$2:$C$6,2),IF(E48 = "Very High", VLOOKUP(F48,'Risk Chart'!$B$17:$C$21,2),IF(E48 = "Very Low", VLOOKUP(F48,'Risk Chart'!$B$22:$C$26,2),IF(E48 = "Low", VLOOKUP(F48,'Risk Chart'!$B$7:$C$11,2),IF(E48 = "Medium", VLOOKUP(F48,'Risk Chart'!$B$12:$C$16,2), "")))))</f>
        <v/>
      </c>
    </row>
    <row r="49" customFormat="false" ht="15" hidden="true" customHeight="false" outlineLevel="0" collapsed="false">
      <c r="G49" s="97" t="str">
        <f aca="false">IF(E49 = "High", VLOOKUP(F49,'Risk Chart'!$B$2:$C$6,2),IF(E49 = "Very High", VLOOKUP(F49,'Risk Chart'!$B$17:$C$21,2),IF(E49 = "Very Low", VLOOKUP(F49,'Risk Chart'!$B$22:$C$26,2),IF(E49 = "Low", VLOOKUP(F49,'Risk Chart'!$B$7:$C$11,2),IF(E49 = "Medium", VLOOKUP(F49,'Risk Chart'!$B$12:$C$16,2), "")))))</f>
        <v/>
      </c>
    </row>
    <row r="50" customFormat="false" ht="15" hidden="true" customHeight="false" outlineLevel="0" collapsed="false">
      <c r="G50" s="97" t="str">
        <f aca="false">IF(E50 = "High", VLOOKUP(F50,'Risk Chart'!$B$2:$C$6,2),IF(E50 = "Very High", VLOOKUP(F50,'Risk Chart'!$B$17:$C$21,2),IF(E50 = "Very Low", VLOOKUP(F50,'Risk Chart'!$B$22:$C$26,2),IF(E50 = "Low", VLOOKUP(F50,'Risk Chart'!$B$7:$C$11,2),IF(E50 = "Medium", VLOOKUP(F50,'Risk Chart'!$B$12:$C$16,2), "")))))</f>
        <v/>
      </c>
    </row>
    <row r="51" customFormat="false" ht="15" hidden="true" customHeight="false" outlineLevel="0" collapsed="false">
      <c r="G51" s="97" t="str">
        <f aca="false">IF(E51 = "High", VLOOKUP(F51,'Risk Chart'!$B$2:$C$6,2),IF(E51 = "Very High", VLOOKUP(F51,'Risk Chart'!$B$17:$C$21,2),IF(E51 = "Very Low", VLOOKUP(F51,'Risk Chart'!$B$22:$C$26,2),IF(E51 = "Low", VLOOKUP(F51,'Risk Chart'!$B$7:$C$11,2),IF(E51 = "Medium", VLOOKUP(F51,'Risk Chart'!$B$12:$C$16,2), "")))))</f>
        <v/>
      </c>
    </row>
    <row r="52" customFormat="false" ht="15" hidden="true" customHeight="false" outlineLevel="0" collapsed="false">
      <c r="G52" s="97" t="str">
        <f aca="false">IF(E52 = "High", VLOOKUP(F52,'Risk Chart'!$B$2:$C$6,2),IF(E52 = "Very High", VLOOKUP(F52,'Risk Chart'!$B$17:$C$21,2),IF(E52 = "Very Low", VLOOKUP(F52,'Risk Chart'!$B$22:$C$26,2),IF(E52 = "Low", VLOOKUP(F52,'Risk Chart'!$B$7:$C$11,2),IF(E52 = "Medium", VLOOKUP(F52,'Risk Chart'!$B$12:$C$16,2), "")))))</f>
        <v/>
      </c>
    </row>
    <row r="53" customFormat="false" ht="15" hidden="true" customHeight="false" outlineLevel="0" collapsed="false">
      <c r="G53" s="97" t="str">
        <f aca="false">IF(E53 = "High", VLOOKUP(F53,'Risk Chart'!$B$2:$C$6,2),IF(E53 = "Very High", VLOOKUP(F53,'Risk Chart'!$B$17:$C$21,2),IF(E53 = "Very Low", VLOOKUP(F53,'Risk Chart'!$B$22:$C$26,2),IF(E53 = "Low", VLOOKUP(F53,'Risk Chart'!$B$7:$C$11,2),IF(E53 = "Medium", VLOOKUP(F53,'Risk Chart'!$B$12:$C$16,2), "")))))</f>
        <v/>
      </c>
    </row>
    <row r="54" customFormat="false" ht="15" hidden="true" customHeight="false" outlineLevel="0" collapsed="false">
      <c r="G54" s="97" t="str">
        <f aca="false">IF(E54 = "High", VLOOKUP(F54,'Risk Chart'!$B$2:$C$6,2),IF(E54 = "Very High", VLOOKUP(F54,'Risk Chart'!$B$17:$C$21,2),IF(E54 = "Very Low", VLOOKUP(F54,'Risk Chart'!$B$22:$C$26,2),IF(E54 = "Low", VLOOKUP(F54,'Risk Chart'!$B$7:$C$11,2),IF(E54 = "Medium", VLOOKUP(F54,'Risk Chart'!$B$12:$C$16,2), "")))))</f>
        <v/>
      </c>
    </row>
    <row r="55" customFormat="false" ht="15" hidden="true" customHeight="false" outlineLevel="0" collapsed="false">
      <c r="G55" s="97" t="str">
        <f aca="false">IF(E55 = "High", VLOOKUP(F55,'Risk Chart'!$B$2:$C$6,2),IF(E55 = "Very High", VLOOKUP(F55,'Risk Chart'!$B$17:$C$21,2),IF(E55 = "Very Low", VLOOKUP(F55,'Risk Chart'!$B$22:$C$26,2),IF(E55 = "Low", VLOOKUP(F55,'Risk Chart'!$B$7:$C$11,2),IF(E55 = "Medium", VLOOKUP(F55,'Risk Chart'!$B$12:$C$16,2), "")))))</f>
        <v/>
      </c>
    </row>
    <row r="56" customFormat="false" ht="15" hidden="true" customHeight="false" outlineLevel="0" collapsed="false">
      <c r="G56" s="97" t="str">
        <f aca="false">IF(E56 = "High", VLOOKUP(F56,'Risk Chart'!$B$2:$C$6,2),IF(E56 = "Very High", VLOOKUP(F56,'Risk Chart'!$B$17:$C$21,2),IF(E56 = "Very Low", VLOOKUP(F56,'Risk Chart'!$B$22:$C$26,2),IF(E56 = "Low", VLOOKUP(F56,'Risk Chart'!$B$7:$C$11,2),IF(E56 = "Medium", VLOOKUP(F56,'Risk Chart'!$B$12:$C$16,2), "")))))</f>
        <v/>
      </c>
    </row>
    <row r="57" customFormat="false" ht="15" hidden="true" customHeight="false" outlineLevel="0" collapsed="false">
      <c r="G57" s="97" t="str">
        <f aca="false">IF(E57 = "High", VLOOKUP(F57,'Risk Chart'!$B$2:$C$6,2),IF(E57 = "Very High", VLOOKUP(F57,'Risk Chart'!$B$17:$C$21,2),IF(E57 = "Very Low", VLOOKUP(F57,'Risk Chart'!$B$22:$C$26,2),IF(E57 = "Low", VLOOKUP(F57,'Risk Chart'!$B$7:$C$11,2),IF(E57 = "Medium", VLOOKUP(F57,'Risk Chart'!$B$12:$C$16,2), "")))))</f>
        <v/>
      </c>
    </row>
    <row r="58" customFormat="false" ht="15" hidden="true" customHeight="false" outlineLevel="0" collapsed="false">
      <c r="G58" s="97" t="str">
        <f aca="false">IF(E58 = "High", VLOOKUP(F58,'Risk Chart'!$B$2:$C$6,2),IF(E58 = "Very High", VLOOKUP(F58,'Risk Chart'!$B$17:$C$21,2),IF(E58 = "Very Low", VLOOKUP(F58,'Risk Chart'!$B$22:$C$26,2),IF(E58 = "Low", VLOOKUP(F58,'Risk Chart'!$B$7:$C$11,2),IF(E58 = "Medium", VLOOKUP(F58,'Risk Chart'!$B$12:$C$16,2), "")))))</f>
        <v/>
      </c>
    </row>
    <row r="59" customFormat="false" ht="15" hidden="true" customHeight="false" outlineLevel="0" collapsed="false">
      <c r="G59" s="97" t="str">
        <f aca="false">IF(E59 = "High", VLOOKUP(F59,'Risk Chart'!$B$2:$C$6,2),IF(E59 = "Very High", VLOOKUP(F59,'Risk Chart'!$B$17:$C$21,2),IF(E59 = "Very Low", VLOOKUP(F59,'Risk Chart'!$B$22:$C$26,2),IF(E59 = "Low", VLOOKUP(F59,'Risk Chart'!$B$7:$C$11,2),IF(E59 = "Medium", VLOOKUP(F59,'Risk Chart'!$B$12:$C$16,2), "")))))</f>
        <v/>
      </c>
    </row>
    <row r="60" customFormat="false" ht="15" hidden="true" customHeight="false" outlineLevel="0" collapsed="false">
      <c r="G60" s="97" t="str">
        <f aca="false">IF(E60 = "High", VLOOKUP(F60,'Risk Chart'!$B$2:$C$6,2),IF(E60 = "Very High", VLOOKUP(F60,'Risk Chart'!$B$17:$C$21,2),IF(E60 = "Very Low", VLOOKUP(F60,'Risk Chart'!$B$22:$C$26,2),IF(E60 = "Low", VLOOKUP(F60,'Risk Chart'!$B$7:$C$11,2),IF(E60 = "Medium", VLOOKUP(F60,'Risk Chart'!$B$12:$C$16,2), "")))))</f>
        <v/>
      </c>
    </row>
    <row r="61" customFormat="false" ht="15" hidden="true" customHeight="false" outlineLevel="0" collapsed="false">
      <c r="G61" s="97" t="str">
        <f aca="false">IF(E61 = "High", VLOOKUP(F61,'Risk Chart'!$B$2:$C$6,2),IF(E61 = "Very High", VLOOKUP(F61,'Risk Chart'!$B$17:$C$21,2),IF(E61 = "Very Low", VLOOKUP(F61,'Risk Chart'!$B$22:$C$26,2),IF(E61 = "Low", VLOOKUP(F61,'Risk Chart'!$B$7:$C$11,2),IF(E61 = "Medium", VLOOKUP(F61,'Risk Chart'!$B$12:$C$16,2), "")))))</f>
        <v/>
      </c>
    </row>
    <row r="62" customFormat="false" ht="15" hidden="true" customHeight="false" outlineLevel="0" collapsed="false">
      <c r="G62" s="97" t="str">
        <f aca="false">IF(E62 = "High", VLOOKUP(F62,'Risk Chart'!$B$2:$C$6,2),IF(E62 = "Very High", VLOOKUP(F62,'Risk Chart'!$B$17:$C$21,2),IF(E62 = "Very Low", VLOOKUP(F62,'Risk Chart'!$B$22:$C$26,2),IF(E62 = "Low", VLOOKUP(F62,'Risk Chart'!$B$7:$C$11,2),IF(E62 = "Medium", VLOOKUP(F62,'Risk Chart'!$B$12:$C$16,2), "")))))</f>
        <v/>
      </c>
    </row>
    <row r="63" customFormat="false" ht="15" hidden="true" customHeight="false" outlineLevel="0" collapsed="false">
      <c r="G63" s="97" t="str">
        <f aca="false">IF(E63 = "High", VLOOKUP(F63,'Risk Chart'!$B$2:$C$6,2),IF(E63 = "Very High", VLOOKUP(F63,'Risk Chart'!$B$17:$C$21,2),IF(E63 = "Very Low", VLOOKUP(F63,'Risk Chart'!$B$22:$C$26,2),IF(E63 = "Low", VLOOKUP(F63,'Risk Chart'!$B$7:$C$11,2),IF(E63 = "Medium", VLOOKUP(F63,'Risk Chart'!$B$12:$C$16,2), "")))))</f>
        <v/>
      </c>
    </row>
    <row r="64" customFormat="false" ht="15" hidden="true" customHeight="false" outlineLevel="0" collapsed="false">
      <c r="G64" s="97" t="str">
        <f aca="false">IF(E64 = "High", VLOOKUP(F64,'Risk Chart'!$B$2:$C$6,2),IF(E64 = "Very High", VLOOKUP(F64,'Risk Chart'!$B$17:$C$21,2),IF(E64 = "Very Low", VLOOKUP(F64,'Risk Chart'!$B$22:$C$26,2),IF(E64 = "Low", VLOOKUP(F64,'Risk Chart'!$B$7:$C$11,2),IF(E64 = "Medium", VLOOKUP(F64,'Risk Chart'!$B$12:$C$16,2), "")))))</f>
        <v/>
      </c>
    </row>
    <row r="65" customFormat="false" ht="15" hidden="true" customHeight="false" outlineLevel="0" collapsed="false">
      <c r="G65" s="97" t="str">
        <f aca="false">IF(E65 = "High", VLOOKUP(F65,'Risk Chart'!$B$2:$C$6,2),IF(E65 = "Very High", VLOOKUP(F65,'Risk Chart'!$B$17:$C$21,2),IF(E65 = "Very Low", VLOOKUP(F65,'Risk Chart'!$B$22:$C$26,2),IF(E65 = "Low", VLOOKUP(F65,'Risk Chart'!$B$7:$C$11,2),IF(E65 = "Medium", VLOOKUP(F65,'Risk Chart'!$B$12:$C$16,2), "")))))</f>
        <v/>
      </c>
    </row>
    <row r="66" customFormat="false" ht="15" hidden="true" customHeight="false" outlineLevel="0" collapsed="false">
      <c r="G66" s="97" t="str">
        <f aca="false">IF(E66 = "High", VLOOKUP(F66,'Risk Chart'!$B$2:$C$6,2),IF(E66 = "Very High", VLOOKUP(F66,'Risk Chart'!$B$17:$C$21,2),IF(E66 = "Very Low", VLOOKUP(F66,'Risk Chart'!$B$22:$C$26,2),IF(E66 = "Low", VLOOKUP(F66,'Risk Chart'!$B$7:$C$11,2),IF(E66 = "Medium", VLOOKUP(F66,'Risk Chart'!$B$12:$C$16,2), "")))))</f>
        <v/>
      </c>
    </row>
    <row r="67" customFormat="false" ht="15" hidden="true" customHeight="false" outlineLevel="0" collapsed="false">
      <c r="G67" s="97" t="str">
        <f aca="false">IF(E67 = "High", VLOOKUP(F67,'Risk Chart'!$B$2:$C$6,2),IF(E67 = "Very High", VLOOKUP(F67,'Risk Chart'!$B$17:$C$21,2),IF(E67 = "Very Low", VLOOKUP(F67,'Risk Chart'!$B$22:$C$26,2),IF(E67 = "Low", VLOOKUP(F67,'Risk Chart'!$B$7:$C$11,2),IF(E67 = "Medium", VLOOKUP(F67,'Risk Chart'!$B$12:$C$16,2), "")))))</f>
        <v/>
      </c>
    </row>
    <row r="68" customFormat="false" ht="15" hidden="true" customHeight="false" outlineLevel="0" collapsed="false">
      <c r="G68" s="97" t="str">
        <f aca="false">IF(E68 = "High", VLOOKUP(F68,'Risk Chart'!$B$2:$C$6,2),IF(E68 = "Very High", VLOOKUP(F68,'Risk Chart'!$B$17:$C$21,2),IF(E68 = "Very Low", VLOOKUP(F68,'Risk Chart'!$B$22:$C$26,2),IF(E68 = "Low", VLOOKUP(F68,'Risk Chart'!$B$7:$C$11,2),IF(E68 = "Medium", VLOOKUP(F68,'Risk Chart'!$B$12:$C$16,2), "")))))</f>
        <v/>
      </c>
    </row>
    <row r="69" customFormat="false" ht="15" hidden="true" customHeight="false" outlineLevel="0" collapsed="false">
      <c r="G69" s="97" t="str">
        <f aca="false">IF(E69 = "High", VLOOKUP(F69,'Risk Chart'!$B$2:$C$6,2),IF(E69 = "Very High", VLOOKUP(F69,'Risk Chart'!$B$17:$C$21,2),IF(E69 = "Very Low", VLOOKUP(F69,'Risk Chart'!$B$22:$C$26,2),IF(E69 = "Low", VLOOKUP(F69,'Risk Chart'!$B$7:$C$11,2),IF(E69 = "Medium", VLOOKUP(F69,'Risk Chart'!$B$12:$C$16,2), "")))))</f>
        <v/>
      </c>
    </row>
    <row r="70" customFormat="false" ht="15" hidden="true" customHeight="false" outlineLevel="0" collapsed="false">
      <c r="G70" s="97" t="str">
        <f aca="false">IF(E70 = "High", VLOOKUP(F70,'Risk Chart'!$B$2:$C$6,2),IF(E70 = "Very High", VLOOKUP(F70,'Risk Chart'!$B$17:$C$21,2),IF(E70 = "Very Low", VLOOKUP(F70,'Risk Chart'!$B$22:$C$26,2),IF(E70 = "Low", VLOOKUP(F70,'Risk Chart'!$B$7:$C$11,2),IF(E70 = "Medium", VLOOKUP(F70,'Risk Chart'!$B$12:$C$16,2), "")))))</f>
        <v/>
      </c>
    </row>
    <row r="71" customFormat="false" ht="15" hidden="true" customHeight="false" outlineLevel="0" collapsed="false">
      <c r="G71" s="97" t="str">
        <f aca="false">IF(E71 = "High", VLOOKUP(F71,'Risk Chart'!$B$2:$C$6,2),IF(E71 = "Very High", VLOOKUP(F71,'Risk Chart'!$B$17:$C$21,2),IF(E71 = "Very Low", VLOOKUP(F71,'Risk Chart'!$B$22:$C$26,2),IF(E71 = "Low", VLOOKUP(F71,'Risk Chart'!$B$7:$C$11,2),IF(E71 = "Medium", VLOOKUP(F71,'Risk Chart'!$B$12:$C$16,2), "")))))</f>
        <v/>
      </c>
    </row>
    <row r="72" customFormat="false" ht="15" hidden="true" customHeight="false" outlineLevel="0" collapsed="false">
      <c r="G72" s="97" t="str">
        <f aca="false">IF(E72 = "High", VLOOKUP(F72,'Risk Chart'!$B$2:$C$6,2),IF(E72 = "Very High", VLOOKUP(F72,'Risk Chart'!$B$17:$C$21,2),IF(E72 = "Very Low", VLOOKUP(F72,'Risk Chart'!$B$22:$C$26,2),IF(E72 = "Low", VLOOKUP(F72,'Risk Chart'!$B$7:$C$11,2),IF(E72 = "Medium", VLOOKUP(F72,'Risk Chart'!$B$12:$C$16,2), "")))))</f>
        <v/>
      </c>
    </row>
    <row r="73" customFormat="false" ht="15" hidden="true" customHeight="false" outlineLevel="0" collapsed="false">
      <c r="G73" s="97" t="str">
        <f aca="false">IF(E73 = "High", VLOOKUP(F73,'Risk Chart'!$B$2:$C$6,2),IF(E73 = "Very High", VLOOKUP(F73,'Risk Chart'!$B$17:$C$21,2),IF(E73 = "Very Low", VLOOKUP(F73,'Risk Chart'!$B$22:$C$26,2),IF(E73 = "Low", VLOOKUP(F73,'Risk Chart'!$B$7:$C$11,2),IF(E73 = "Medium", VLOOKUP(F73,'Risk Chart'!$B$12:$C$16,2), "")))))</f>
        <v/>
      </c>
    </row>
    <row r="74" customFormat="false" ht="15" hidden="true" customHeight="false" outlineLevel="0" collapsed="false">
      <c r="G74" s="97" t="str">
        <f aca="false">IF(E74 = "High", VLOOKUP(F74,'Risk Chart'!$B$2:$C$6,2),IF(E74 = "Very High", VLOOKUP(F74,'Risk Chart'!$B$17:$C$21,2),IF(E74 = "Very Low", VLOOKUP(F74,'Risk Chart'!$B$22:$C$26,2),IF(E74 = "Low", VLOOKUP(F74,'Risk Chart'!$B$7:$C$11,2),IF(E74 = "Medium", VLOOKUP(F74,'Risk Chart'!$B$12:$C$16,2), "")))))</f>
        <v/>
      </c>
    </row>
    <row r="75" customFormat="false" ht="15" hidden="true" customHeight="false" outlineLevel="0" collapsed="false">
      <c r="G75" s="97" t="str">
        <f aca="false">IF(E75 = "High", VLOOKUP(F75,'Risk Chart'!$B$2:$C$6,2),IF(E75 = "Very High", VLOOKUP(F75,'Risk Chart'!$B$17:$C$21,2),IF(E75 = "Very Low", VLOOKUP(F75,'Risk Chart'!$B$22:$C$26,2),IF(E75 = "Low", VLOOKUP(F75,'Risk Chart'!$B$7:$C$11,2),IF(E75 = "Medium", VLOOKUP(F75,'Risk Chart'!$B$12:$C$16,2), "")))))</f>
        <v/>
      </c>
    </row>
    <row r="76" customFormat="false" ht="15" hidden="true" customHeight="false" outlineLevel="0" collapsed="false">
      <c r="G76" s="97" t="str">
        <f aca="false">IF(E76 = "High", VLOOKUP(F76,'Risk Chart'!$B$2:$C$6,2),IF(E76 = "Very High", VLOOKUP(F76,'Risk Chart'!$B$17:$C$21,2),IF(E76 = "Very Low", VLOOKUP(F76,'Risk Chart'!$B$22:$C$26,2),IF(E76 = "Low", VLOOKUP(F76,'Risk Chart'!$B$7:$C$11,2),IF(E76 = "Medium", VLOOKUP(F76,'Risk Chart'!$B$12:$C$16,2), "")))))</f>
        <v/>
      </c>
    </row>
    <row r="77" customFormat="false" ht="15" hidden="true" customHeight="false" outlineLevel="0" collapsed="false">
      <c r="G77" s="97" t="str">
        <f aca="false">IF(E77 = "High", VLOOKUP(F77,'Risk Chart'!$B$2:$C$6,2),IF(E77 = "Very High", VLOOKUP(F77,'Risk Chart'!$B$17:$C$21,2),IF(E77 = "Very Low", VLOOKUP(F77,'Risk Chart'!$B$22:$C$26,2),IF(E77 = "Low", VLOOKUP(F77,'Risk Chart'!$B$7:$C$11,2),IF(E77 = "Medium", VLOOKUP(F77,'Risk Chart'!$B$12:$C$16,2), "")))))</f>
        <v/>
      </c>
    </row>
    <row r="78" customFormat="false" ht="15" hidden="true" customHeight="false" outlineLevel="0" collapsed="false">
      <c r="G78" s="97" t="str">
        <f aca="false">IF(E78 = "High", VLOOKUP(F78,'Risk Chart'!$B$2:$C$6,2),IF(E78 = "Very High", VLOOKUP(F78,'Risk Chart'!$B$17:$C$21,2),IF(E78 = "Very Low", VLOOKUP(F78,'Risk Chart'!$B$22:$C$26,2),IF(E78 = "Low", VLOOKUP(F78,'Risk Chart'!$B$7:$C$11,2),IF(E78 = "Medium", VLOOKUP(F78,'Risk Chart'!$B$12:$C$16,2), "")))))</f>
        <v/>
      </c>
    </row>
    <row r="79" customFormat="false" ht="15" hidden="true" customHeight="false" outlineLevel="0" collapsed="false">
      <c r="G79" s="97" t="str">
        <f aca="false">IF(E79 = "High", VLOOKUP(F79,'Risk Chart'!$B$2:$C$6,2),IF(E79 = "Very High", VLOOKUP(F79,'Risk Chart'!$B$17:$C$21,2),IF(E79 = "Very Low", VLOOKUP(F79,'Risk Chart'!$B$22:$C$26,2),IF(E79 = "Low", VLOOKUP(F79,'Risk Chart'!$B$7:$C$11,2),IF(E79 = "Medium", VLOOKUP(F79,'Risk Chart'!$B$12:$C$16,2), "")))))</f>
        <v/>
      </c>
    </row>
    <row r="80" customFormat="false" ht="15" hidden="true" customHeight="false" outlineLevel="0" collapsed="false">
      <c r="G80" s="97" t="str">
        <f aca="false">IF(E80 = "High", VLOOKUP(F80,'Risk Chart'!$B$2:$C$6,2),IF(E80 = "Very High", VLOOKUP(F80,'Risk Chart'!$B$17:$C$21,2),IF(E80 = "Very Low", VLOOKUP(F80,'Risk Chart'!$B$22:$C$26,2),IF(E80 = "Low", VLOOKUP(F80,'Risk Chart'!$B$7:$C$11,2),IF(E80 = "Medium", VLOOKUP(F80,'Risk Chart'!$B$12:$C$16,2), "")))))</f>
        <v/>
      </c>
    </row>
    <row r="81" customFormat="false" ht="15" hidden="true" customHeight="false" outlineLevel="0" collapsed="false">
      <c r="G81" s="97" t="str">
        <f aca="false">IF(E81 = "High", VLOOKUP(F81,'Risk Chart'!$B$2:$C$6,2),IF(E81 = "Very High", VLOOKUP(F81,'Risk Chart'!$B$17:$C$21,2),IF(E81 = "Very Low", VLOOKUP(F81,'Risk Chart'!$B$22:$C$26,2),IF(E81 = "Low", VLOOKUP(F81,'Risk Chart'!$B$7:$C$11,2),IF(E81 = "Medium", VLOOKUP(F81,'Risk Chart'!$B$12:$C$16,2), "")))))</f>
        <v/>
      </c>
    </row>
    <row r="82" customFormat="false" ht="15" hidden="true" customHeight="false" outlineLevel="0" collapsed="false">
      <c r="G82" s="97" t="str">
        <f aca="false">IF(E82 = "High", VLOOKUP(F82,'Risk Chart'!$B$2:$C$6,2),IF(E82 = "Very High", VLOOKUP(F82,'Risk Chart'!$B$17:$C$21,2),IF(E82 = "Very Low", VLOOKUP(F82,'Risk Chart'!$B$22:$C$26,2),IF(E82 = "Low", VLOOKUP(F82,'Risk Chart'!$B$7:$C$11,2),IF(E82 = "Medium", VLOOKUP(F82,'Risk Chart'!$B$12:$C$16,2), "")))))</f>
        <v/>
      </c>
    </row>
    <row r="83" customFormat="false" ht="15" hidden="true" customHeight="false" outlineLevel="0" collapsed="false">
      <c r="G83" s="97" t="str">
        <f aca="false">IF(E83 = "High", VLOOKUP(F83,'Risk Chart'!$B$2:$C$6,2),IF(E83 = "Very High", VLOOKUP(F83,'Risk Chart'!$B$17:$C$21,2),IF(E83 = "Very Low", VLOOKUP(F83,'Risk Chart'!$B$22:$C$26,2),IF(E83 = "Low", VLOOKUP(F83,'Risk Chart'!$B$7:$C$11,2),IF(E83 = "Medium", VLOOKUP(F83,'Risk Chart'!$B$12:$C$16,2), "")))))</f>
        <v/>
      </c>
    </row>
    <row r="84" customFormat="false" ht="15" hidden="true" customHeight="false" outlineLevel="0" collapsed="false">
      <c r="G84" s="97" t="str">
        <f aca="false">IF(E84 = "High", VLOOKUP(F84,'Risk Chart'!$B$2:$C$6,2),IF(E84 = "Very High", VLOOKUP(F84,'Risk Chart'!$B$17:$C$21,2),IF(E84 = "Very Low", VLOOKUP(F84,'Risk Chart'!$B$22:$C$26,2),IF(E84 = "Low", VLOOKUP(F84,'Risk Chart'!$B$7:$C$11,2),IF(E84 = "Medium", VLOOKUP(F84,'Risk Chart'!$B$12:$C$16,2), "")))))</f>
        <v/>
      </c>
    </row>
    <row r="85" customFormat="false" ht="15" hidden="true" customHeight="false" outlineLevel="0" collapsed="false">
      <c r="G85" s="97" t="str">
        <f aca="false">IF(E85 = "High", VLOOKUP(F85,'Risk Chart'!$B$2:$C$6,2),IF(E85 = "Very High", VLOOKUP(F85,'Risk Chart'!$B$17:$C$21,2),IF(E85 = "Very Low", VLOOKUP(F85,'Risk Chart'!$B$22:$C$26,2),IF(E85 = "Low", VLOOKUP(F85,'Risk Chart'!$B$7:$C$11,2),IF(E85 = "Medium", VLOOKUP(F85,'Risk Chart'!$B$12:$C$16,2), "")))))</f>
        <v/>
      </c>
    </row>
    <row r="86" customFormat="false" ht="15" hidden="true" customHeight="false" outlineLevel="0" collapsed="false">
      <c r="G86" s="97" t="str">
        <f aca="false">IF(E86 = "High", VLOOKUP(F86,'Risk Chart'!$B$2:$C$6,2),IF(E86 = "Very High", VLOOKUP(F86,'Risk Chart'!$B$17:$C$21,2),IF(E86 = "Very Low", VLOOKUP(F86,'Risk Chart'!$B$22:$C$26,2),IF(E86 = "Low", VLOOKUP(F86,'Risk Chart'!$B$7:$C$11,2),IF(E86 = "Medium", VLOOKUP(F86,'Risk Chart'!$B$12:$C$16,2), "")))))</f>
        <v/>
      </c>
    </row>
    <row r="87" customFormat="false" ht="15" hidden="true" customHeight="false" outlineLevel="0" collapsed="false">
      <c r="G87" s="97" t="str">
        <f aca="false">IF(E87 = "High", VLOOKUP(F87,'Risk Chart'!$B$2:$C$6,2),IF(E87 = "Very High", VLOOKUP(F87,'Risk Chart'!$B$17:$C$21,2),IF(E87 = "Very Low", VLOOKUP(F87,'Risk Chart'!$B$22:$C$26,2),IF(E87 = "Low", VLOOKUP(F87,'Risk Chart'!$B$7:$C$11,2),IF(E87 = "Medium", VLOOKUP(F87,'Risk Chart'!$B$12:$C$16,2), "")))))</f>
        <v/>
      </c>
    </row>
    <row r="88" customFormat="false" ht="15" hidden="true" customHeight="false" outlineLevel="0" collapsed="false">
      <c r="G88" s="97" t="str">
        <f aca="false">IF(E88 = "High", VLOOKUP(F88,'Risk Chart'!$B$2:$C$6,2),IF(E88 = "Very High", VLOOKUP(F88,'Risk Chart'!$B$17:$C$21,2),IF(E88 = "Very Low", VLOOKUP(F88,'Risk Chart'!$B$22:$C$26,2),IF(E88 = "Low", VLOOKUP(F88,'Risk Chart'!$B$7:$C$11,2),IF(E88 = "Medium", VLOOKUP(F88,'Risk Chart'!$B$12:$C$16,2), "")))))</f>
        <v/>
      </c>
    </row>
    <row r="89" customFormat="false" ht="15" hidden="true" customHeight="false" outlineLevel="0" collapsed="false">
      <c r="G89" s="97" t="str">
        <f aca="false">IF(E89 = "High", VLOOKUP(F89,'Risk Chart'!$B$2:$C$6,2),IF(E89 = "Very High", VLOOKUP(F89,'Risk Chart'!$B$17:$C$21,2),IF(E89 = "Very Low", VLOOKUP(F89,'Risk Chart'!$B$22:$C$26,2),IF(E89 = "Low", VLOOKUP(F89,'Risk Chart'!$B$7:$C$11,2),IF(E89 = "Medium", VLOOKUP(F89,'Risk Chart'!$B$12:$C$16,2), "")))))</f>
        <v/>
      </c>
    </row>
    <row r="90" customFormat="false" ht="15" hidden="true" customHeight="false" outlineLevel="0" collapsed="false">
      <c r="G90" s="97" t="str">
        <f aca="false">IF(E90 = "High", VLOOKUP(F90,'Risk Chart'!$B$2:$C$6,2),IF(E90 = "Very High", VLOOKUP(F90,'Risk Chart'!$B$17:$C$21,2),IF(E90 = "Very Low", VLOOKUP(F90,'Risk Chart'!$B$22:$C$26,2),IF(E90 = "Low", VLOOKUP(F90,'Risk Chart'!$B$7:$C$11,2),IF(E90 = "Medium", VLOOKUP(F90,'Risk Chart'!$B$12:$C$16,2), "")))))</f>
        <v/>
      </c>
    </row>
    <row r="91" customFormat="false" ht="60.75" hidden="false" customHeight="false" outlineLevel="0" collapsed="false">
      <c r="A91" s="38" t="n">
        <v>25</v>
      </c>
      <c r="B91" s="39" t="s">
        <v>153</v>
      </c>
      <c r="C91" s="39" t="s">
        <v>154</v>
      </c>
      <c r="D91" s="39" t="s">
        <v>155</v>
      </c>
      <c r="E91" s="40" t="s">
        <v>55</v>
      </c>
      <c r="F91" s="41" t="s">
        <v>142</v>
      </c>
      <c r="G91" s="42" t="str">
        <f aca="false">IF(E91 = "High", VLOOKUP(F91,'Risk Chart'!$B$2:$C$6,2),IF(E91 = "Very High", VLOOKUP(F91,'Risk Chart'!$B$17:$C$21,2),IF(E91 = "Very Low", VLOOKUP(F91,'Risk Chart'!$B$22:$C$26,2),IF(E91 = "Low", VLOOKUP(F91,'Risk Chart'!$B$7:$C$11,2),IF(E91 = "Medium", VLOOKUP(F91,'Risk Chart'!$B$12:$C$16,2), "")))))</f>
        <v>Medium</v>
      </c>
      <c r="H91" s="41" t="s">
        <v>146</v>
      </c>
      <c r="I91" s="81" t="n">
        <v>45329</v>
      </c>
      <c r="J91" s="46"/>
      <c r="K91" s="44" t="s">
        <v>156</v>
      </c>
      <c r="L91" s="92" t="s">
        <v>157</v>
      </c>
    </row>
  </sheetData>
  <autoFilter ref="A2:S2">
    <filterColumn colId="10">
      <filters>
        <filter val="Open"/>
      </filters>
    </filterColumn>
  </autoFilter>
  <mergeCells count="1">
    <mergeCell ref="A1:L1"/>
  </mergeCells>
  <dataValidations count="3">
    <dataValidation allowBlank="true" errorStyle="stop" operator="between" showDropDown="false" showErrorMessage="true" showInputMessage="true" sqref="G2:G23 G25:G1091" type="none">
      <formula1>0</formula1>
      <formula2>0</formula2>
    </dataValidation>
    <dataValidation allowBlank="true" errorStyle="stop" operator="between" showDropDown="false" showErrorMessage="true" showInputMessage="true" sqref="E3:F92 G24 E93:F1091" type="list">
      <formula1>LOV!$D$2:$D$6</formula1>
      <formula2>0</formula2>
    </dataValidation>
    <dataValidation allowBlank="true" errorStyle="stop" operator="between" showDropDown="false" showErrorMessage="true" showInputMessage="true" sqref="K3:K1091" type="list">
      <formula1>LOV!$B$2:$B$3</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4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2" topLeftCell="E23" activePane="bottomRight" state="frozen"/>
      <selection pane="topLeft" activeCell="A1" activeCellId="0" sqref="A1"/>
      <selection pane="topRight" activeCell="E1" activeCellId="0" sqref="E1"/>
      <selection pane="bottomLeft" activeCell="A23" activeCellId="0" sqref="A23"/>
      <selection pane="bottomRight" activeCell="H30" activeCellId="0" sqref="H30"/>
    </sheetView>
  </sheetViews>
  <sheetFormatPr defaultColWidth="9.14453125" defaultRowHeight="14.25" zeroHeight="false" outlineLevelRow="0" outlineLevelCol="0"/>
  <cols>
    <col collapsed="false" customWidth="true" hidden="false" outlineLevel="0" max="1" min="1" style="100" width="11.28"/>
    <col collapsed="false" customWidth="true" hidden="false" outlineLevel="0" max="2" min="2" style="32" width="48.29"/>
    <col collapsed="false" customWidth="true" hidden="false" outlineLevel="0" max="3" min="3" style="32" width="19.57"/>
    <col collapsed="false" customWidth="true" hidden="false" outlineLevel="0" max="4" min="4" style="32" width="25.57"/>
    <col collapsed="false" customWidth="true" hidden="false" outlineLevel="0" max="5" min="5" style="32" width="25.29"/>
    <col collapsed="false" customWidth="true" hidden="false" outlineLevel="0" max="6" min="6" style="32" width="24.72"/>
    <col collapsed="false" customWidth="true" hidden="false" outlineLevel="0" max="7" min="7" style="32" width="29.29"/>
    <col collapsed="false" customWidth="true" hidden="false" outlineLevel="0" max="8" min="8" style="33" width="43.72"/>
    <col collapsed="false" customWidth="false" hidden="false" outlineLevel="0" max="16384" min="9" style="32" width="9.14"/>
  </cols>
  <sheetData>
    <row r="1" customFormat="false" ht="19.7" hidden="false" customHeight="false" outlineLevel="0" collapsed="false">
      <c r="A1" s="34" t="s">
        <v>158</v>
      </c>
      <c r="B1" s="34"/>
      <c r="C1" s="34"/>
      <c r="D1" s="34"/>
      <c r="E1" s="34"/>
      <c r="F1" s="34"/>
      <c r="G1" s="34"/>
      <c r="H1" s="34"/>
    </row>
    <row r="2" customFormat="false" ht="16.4" hidden="false" customHeight="false" outlineLevel="0" collapsed="false">
      <c r="A2" s="101" t="s">
        <v>40</v>
      </c>
      <c r="B2" s="35" t="s">
        <v>159</v>
      </c>
      <c r="C2" s="35" t="s">
        <v>47</v>
      </c>
      <c r="D2" s="35" t="s">
        <v>48</v>
      </c>
      <c r="E2" s="35" t="s">
        <v>160</v>
      </c>
      <c r="F2" s="35" t="s">
        <v>161</v>
      </c>
      <c r="G2" s="35" t="s">
        <v>50</v>
      </c>
      <c r="H2" s="35" t="s">
        <v>51</v>
      </c>
    </row>
    <row r="3" customFormat="false" ht="16.4" hidden="false" customHeight="false" outlineLevel="0" collapsed="false">
      <c r="A3" s="102" t="n">
        <f aca="false">ROW()-2</f>
        <v>1</v>
      </c>
      <c r="B3" s="39" t="s">
        <v>162</v>
      </c>
      <c r="C3" s="41" t="s">
        <v>163</v>
      </c>
      <c r="D3" s="43" t="n">
        <v>44849</v>
      </c>
      <c r="E3" s="43" t="n">
        <v>44852</v>
      </c>
      <c r="F3" s="43" t="n">
        <v>44852</v>
      </c>
      <c r="G3" s="44" t="s">
        <v>58</v>
      </c>
      <c r="H3" s="92" t="s">
        <v>164</v>
      </c>
    </row>
    <row r="4" customFormat="false" ht="16.4" hidden="false" customHeight="false" outlineLevel="0" collapsed="false">
      <c r="A4" s="102" t="n">
        <f aca="false">IF(B3="","",A3+1)</f>
        <v>2</v>
      </c>
      <c r="B4" s="39" t="s">
        <v>165</v>
      </c>
      <c r="C4" s="41" t="s">
        <v>163</v>
      </c>
      <c r="D4" s="43" t="n">
        <v>44852</v>
      </c>
      <c r="E4" s="43" t="n">
        <v>44852</v>
      </c>
      <c r="F4" s="43" t="n">
        <v>44852</v>
      </c>
      <c r="G4" s="44" t="s">
        <v>58</v>
      </c>
      <c r="H4" s="92" t="s">
        <v>166</v>
      </c>
    </row>
    <row r="5" customFormat="false" ht="30.75" hidden="false" customHeight="false" outlineLevel="0" collapsed="false">
      <c r="A5" s="102" t="n">
        <f aca="false">IF(B4="","",A4+1)</f>
        <v>3</v>
      </c>
      <c r="B5" s="39" t="s">
        <v>167</v>
      </c>
      <c r="C5" s="41" t="s">
        <v>168</v>
      </c>
      <c r="D5" s="43" t="n">
        <v>44852</v>
      </c>
      <c r="E5" s="43" t="n">
        <v>44852</v>
      </c>
      <c r="F5" s="43" t="n">
        <v>44852</v>
      </c>
      <c r="G5" s="44" t="s">
        <v>58</v>
      </c>
      <c r="H5" s="92" t="s">
        <v>169</v>
      </c>
    </row>
    <row r="6" customFormat="false" ht="16.4" hidden="false" customHeight="false" outlineLevel="0" collapsed="false">
      <c r="A6" s="102" t="n">
        <f aca="false">IF(B5="","",A5+1)</f>
        <v>4</v>
      </c>
      <c r="B6" s="39" t="s">
        <v>170</v>
      </c>
      <c r="C6" s="41" t="s">
        <v>171</v>
      </c>
      <c r="D6" s="43"/>
      <c r="E6" s="43"/>
      <c r="F6" s="43"/>
      <c r="G6" s="44"/>
      <c r="H6" s="92"/>
    </row>
    <row r="7" customFormat="false" ht="30.75" hidden="false" customHeight="false" outlineLevel="0" collapsed="false">
      <c r="A7" s="102" t="n">
        <f aca="false">IF(B6="","",A6+1)</f>
        <v>5</v>
      </c>
      <c r="B7" s="39" t="s">
        <v>172</v>
      </c>
      <c r="C7" s="41" t="s">
        <v>171</v>
      </c>
      <c r="D7" s="43" t="n">
        <v>44853</v>
      </c>
      <c r="E7" s="43" t="n">
        <v>44854</v>
      </c>
      <c r="F7" s="43" t="n">
        <v>44854</v>
      </c>
      <c r="G7" s="44" t="s">
        <v>58</v>
      </c>
      <c r="H7" s="92" t="s">
        <v>173</v>
      </c>
    </row>
    <row r="8" customFormat="false" ht="255.2" hidden="false" customHeight="false" outlineLevel="0" collapsed="false">
      <c r="A8" s="102" t="n">
        <f aca="false">IF(B7="","",A7+1)</f>
        <v>6</v>
      </c>
      <c r="B8" s="39" t="s">
        <v>174</v>
      </c>
      <c r="C8" s="41" t="s">
        <v>171</v>
      </c>
      <c r="D8" s="43" t="n">
        <v>44853</v>
      </c>
      <c r="E8" s="43" t="n">
        <v>44854</v>
      </c>
      <c r="F8" s="43" t="n">
        <v>44854</v>
      </c>
      <c r="G8" s="44" t="s">
        <v>58</v>
      </c>
      <c r="H8" s="92"/>
    </row>
    <row r="9" customFormat="false" ht="225.35" hidden="false" customHeight="false" outlineLevel="0" collapsed="false">
      <c r="A9" s="102" t="n">
        <f aca="false">IF(B8="","",A8+1)</f>
        <v>7</v>
      </c>
      <c r="B9" s="39" t="s">
        <v>175</v>
      </c>
      <c r="C9" s="41" t="s">
        <v>171</v>
      </c>
      <c r="D9" s="43" t="n">
        <v>44853</v>
      </c>
      <c r="E9" s="43" t="n">
        <v>44854</v>
      </c>
      <c r="F9" s="43" t="n">
        <v>44854</v>
      </c>
      <c r="G9" s="44" t="s">
        <v>58</v>
      </c>
      <c r="H9" s="92"/>
    </row>
    <row r="10" customFormat="false" ht="255.2" hidden="false" customHeight="false" outlineLevel="0" collapsed="false">
      <c r="A10" s="102" t="n">
        <f aca="false">IF(B9="","",A9+1)</f>
        <v>8</v>
      </c>
      <c r="B10" s="39" t="s">
        <v>176</v>
      </c>
      <c r="C10" s="41" t="s">
        <v>171</v>
      </c>
      <c r="D10" s="43" t="n">
        <v>44853</v>
      </c>
      <c r="E10" s="43" t="n">
        <v>44854</v>
      </c>
      <c r="F10" s="43" t="n">
        <v>44854</v>
      </c>
      <c r="G10" s="44" t="s">
        <v>58</v>
      </c>
      <c r="H10" s="92"/>
    </row>
    <row r="11" customFormat="false" ht="30.75" hidden="false" customHeight="false" outlineLevel="0" collapsed="false">
      <c r="A11" s="102" t="n">
        <f aca="false">IF(B10="","",A10+1)</f>
        <v>9</v>
      </c>
      <c r="B11" s="39" t="s">
        <v>177</v>
      </c>
      <c r="C11" s="41" t="s">
        <v>178</v>
      </c>
      <c r="D11" s="81" t="n">
        <v>45140</v>
      </c>
      <c r="E11" s="81" t="n">
        <v>45183</v>
      </c>
      <c r="F11" s="46"/>
      <c r="G11" s="44" t="s">
        <v>58</v>
      </c>
      <c r="H11" s="92" t="s">
        <v>179</v>
      </c>
    </row>
    <row r="12" customFormat="false" ht="30.75" hidden="false" customHeight="false" outlineLevel="0" collapsed="false">
      <c r="A12" s="102" t="n">
        <v>10</v>
      </c>
      <c r="B12" s="39" t="s">
        <v>180</v>
      </c>
      <c r="C12" s="41" t="s">
        <v>178</v>
      </c>
      <c r="D12" s="81" t="n">
        <v>45175</v>
      </c>
      <c r="E12" s="81" t="n">
        <v>45199</v>
      </c>
      <c r="F12" s="46"/>
      <c r="G12" s="44" t="s">
        <v>58</v>
      </c>
      <c r="H12" s="92" t="s">
        <v>181</v>
      </c>
    </row>
    <row r="13" customFormat="false" ht="16.4" hidden="false" customHeight="false" outlineLevel="0" collapsed="false">
      <c r="A13" s="102" t="n">
        <v>11</v>
      </c>
      <c r="B13" s="39" t="s">
        <v>182</v>
      </c>
      <c r="C13" s="41" t="s">
        <v>178</v>
      </c>
      <c r="D13" s="81" t="n">
        <v>45174</v>
      </c>
      <c r="E13" s="81" t="n">
        <v>45174</v>
      </c>
      <c r="F13" s="81" t="n">
        <v>45174</v>
      </c>
      <c r="G13" s="44" t="s">
        <v>58</v>
      </c>
      <c r="H13" s="92"/>
    </row>
    <row r="14" customFormat="false" ht="45.75" hidden="false" customHeight="false" outlineLevel="0" collapsed="false">
      <c r="A14" s="102" t="n">
        <v>12</v>
      </c>
      <c r="B14" s="39" t="s">
        <v>183</v>
      </c>
      <c r="C14" s="41" t="s">
        <v>178</v>
      </c>
      <c r="D14" s="81" t="n">
        <v>45174</v>
      </c>
      <c r="E14" s="81" t="n">
        <v>45182</v>
      </c>
      <c r="F14" s="46"/>
      <c r="G14" s="44" t="s">
        <v>58</v>
      </c>
      <c r="H14" s="92" t="s">
        <v>184</v>
      </c>
    </row>
    <row r="15" customFormat="false" ht="76.1" hidden="false" customHeight="false" outlineLevel="0" collapsed="false">
      <c r="A15" s="102" t="n">
        <v>13</v>
      </c>
      <c r="B15" s="39" t="s">
        <v>185</v>
      </c>
      <c r="C15" s="41" t="s">
        <v>178</v>
      </c>
      <c r="D15" s="81" t="n">
        <v>45174</v>
      </c>
      <c r="E15" s="81" t="n">
        <v>45174</v>
      </c>
      <c r="F15" s="81" t="n">
        <v>45174</v>
      </c>
      <c r="G15" s="44" t="s">
        <v>58</v>
      </c>
      <c r="H15" s="92" t="s">
        <v>186</v>
      </c>
    </row>
    <row r="16" customFormat="false" ht="30.75" hidden="false" customHeight="false" outlineLevel="0" collapsed="false">
      <c r="A16" s="102" t="n">
        <v>14</v>
      </c>
      <c r="B16" s="39" t="s">
        <v>187</v>
      </c>
      <c r="C16" s="41" t="s">
        <v>178</v>
      </c>
      <c r="D16" s="81" t="n">
        <v>45174</v>
      </c>
      <c r="E16" s="46"/>
      <c r="F16" s="46"/>
      <c r="G16" s="44" t="s">
        <v>156</v>
      </c>
      <c r="H16" s="92" t="s">
        <v>188</v>
      </c>
    </row>
    <row r="17" customFormat="false" ht="16.4" hidden="false" customHeight="false" outlineLevel="0" collapsed="false">
      <c r="A17" s="102" t="n">
        <v>15</v>
      </c>
      <c r="B17" s="48" t="s">
        <v>189</v>
      </c>
      <c r="C17" s="50" t="s">
        <v>178</v>
      </c>
      <c r="D17" s="90" t="n">
        <v>45252</v>
      </c>
      <c r="E17" s="90" t="n">
        <v>45270</v>
      </c>
      <c r="F17" s="81" t="n">
        <v>45270</v>
      </c>
      <c r="G17" s="44" t="s">
        <v>58</v>
      </c>
      <c r="H17" s="92" t="s">
        <v>190</v>
      </c>
    </row>
    <row r="18" customFormat="false" ht="30.75" hidden="false" customHeight="false" outlineLevel="0" collapsed="false">
      <c r="A18" s="103" t="n">
        <f aca="false">IF(B17="","",A17+1)</f>
        <v>16</v>
      </c>
      <c r="B18" s="104" t="s">
        <v>191</v>
      </c>
      <c r="C18" s="105" t="s">
        <v>178</v>
      </c>
      <c r="D18" s="106" t="n">
        <v>45281</v>
      </c>
      <c r="E18" s="106" t="n">
        <v>44941</v>
      </c>
      <c r="F18" s="106" t="n">
        <v>44941</v>
      </c>
      <c r="G18" s="44" t="s">
        <v>58</v>
      </c>
      <c r="H18" s="92" t="s">
        <v>192</v>
      </c>
    </row>
    <row r="19" customFormat="false" ht="30.75" hidden="false" customHeight="false" outlineLevel="0" collapsed="false">
      <c r="A19" s="103" t="n">
        <f aca="false">IF(B18="","",A18+1)</f>
        <v>17</v>
      </c>
      <c r="B19" s="104" t="s">
        <v>193</v>
      </c>
      <c r="C19" s="105" t="s">
        <v>178</v>
      </c>
      <c r="D19" s="106" t="n">
        <v>45281</v>
      </c>
      <c r="E19" s="106" t="n">
        <v>44941</v>
      </c>
      <c r="F19" s="106" t="n">
        <v>44941</v>
      </c>
      <c r="G19" s="44" t="s">
        <v>58</v>
      </c>
      <c r="H19" s="92" t="s">
        <v>194</v>
      </c>
    </row>
    <row r="20" customFormat="false" ht="30.75" hidden="false" customHeight="false" outlineLevel="0" collapsed="false">
      <c r="A20" s="103" t="n">
        <f aca="false">IF(B19="","",A19+1)</f>
        <v>18</v>
      </c>
      <c r="B20" s="104" t="s">
        <v>195</v>
      </c>
      <c r="C20" s="105" t="s">
        <v>178</v>
      </c>
      <c r="D20" s="106" t="n">
        <v>45281</v>
      </c>
      <c r="E20" s="106" t="n">
        <v>44941</v>
      </c>
      <c r="F20" s="106" t="n">
        <v>44941</v>
      </c>
      <c r="G20" s="44" t="s">
        <v>58</v>
      </c>
      <c r="H20" s="92" t="s">
        <v>194</v>
      </c>
    </row>
    <row r="21" customFormat="false" ht="30.75" hidden="false" customHeight="false" outlineLevel="0" collapsed="false">
      <c r="A21" s="103" t="n">
        <v>19</v>
      </c>
      <c r="B21" s="104" t="s">
        <v>196</v>
      </c>
      <c r="C21" s="105" t="s">
        <v>178</v>
      </c>
      <c r="D21" s="106" t="n">
        <v>45281</v>
      </c>
      <c r="E21" s="106" t="n">
        <v>44941</v>
      </c>
      <c r="F21" s="106" t="n">
        <v>44941</v>
      </c>
      <c r="G21" s="44" t="s">
        <v>58</v>
      </c>
      <c r="H21" s="92" t="s">
        <v>194</v>
      </c>
    </row>
    <row r="22" customFormat="false" ht="45.75" hidden="false" customHeight="false" outlineLevel="0" collapsed="false">
      <c r="A22" s="107" t="n">
        <v>20</v>
      </c>
      <c r="B22" s="108" t="s">
        <v>197</v>
      </c>
      <c r="C22" s="109" t="s">
        <v>178</v>
      </c>
      <c r="D22" s="110" t="n">
        <v>45281</v>
      </c>
      <c r="E22" s="110" t="n">
        <v>44941</v>
      </c>
      <c r="F22" s="106"/>
      <c r="G22" s="44" t="s">
        <v>58</v>
      </c>
      <c r="H22" s="77" t="s">
        <v>198</v>
      </c>
    </row>
    <row r="23" customFormat="false" ht="105.95" hidden="false" customHeight="false" outlineLevel="0" collapsed="false">
      <c r="A23" s="102" t="n">
        <f aca="false">IF(B22="","",A22+1)</f>
        <v>21</v>
      </c>
      <c r="B23" s="111" t="s">
        <v>199</v>
      </c>
      <c r="C23" s="104" t="s">
        <v>178</v>
      </c>
      <c r="D23" s="112" t="n">
        <v>45307</v>
      </c>
      <c r="E23" s="112" t="n">
        <v>45322</v>
      </c>
      <c r="F23" s="46"/>
      <c r="G23" s="44" t="s">
        <v>156</v>
      </c>
      <c r="H23" s="92" t="s">
        <v>200</v>
      </c>
    </row>
    <row r="24" customFormat="false" ht="16.4" hidden="false" customHeight="false" outlineLevel="0" collapsed="false">
      <c r="A24" s="102" t="n">
        <f aca="false">IF(B23="","",A23+1)</f>
        <v>22</v>
      </c>
      <c r="B24" s="111" t="s">
        <v>201</v>
      </c>
      <c r="C24" s="104" t="s">
        <v>202</v>
      </c>
      <c r="D24" s="112" t="n">
        <v>45322</v>
      </c>
      <c r="E24" s="112" t="n">
        <v>45322</v>
      </c>
      <c r="F24" s="46"/>
      <c r="G24" s="44" t="s">
        <v>58</v>
      </c>
      <c r="H24" s="92"/>
    </row>
    <row r="25" customFormat="false" ht="30.75" hidden="false" customHeight="false" outlineLevel="0" collapsed="false">
      <c r="A25" s="102" t="n">
        <f aca="false">IF(B24="","",A24+1)</f>
        <v>23</v>
      </c>
      <c r="B25" s="111" t="s">
        <v>203</v>
      </c>
      <c r="C25" s="104" t="s">
        <v>171</v>
      </c>
      <c r="D25" s="112" t="n">
        <v>45322</v>
      </c>
      <c r="E25" s="112" t="n">
        <v>45322</v>
      </c>
      <c r="F25" s="46"/>
      <c r="G25" s="44" t="s">
        <v>156</v>
      </c>
      <c r="H25" s="92"/>
    </row>
    <row r="26" customFormat="false" ht="30.75" hidden="false" customHeight="false" outlineLevel="0" collapsed="false">
      <c r="A26" s="102" t="n">
        <f aca="false">IF(B25="","",A25+1)</f>
        <v>24</v>
      </c>
      <c r="B26" s="111" t="s">
        <v>204</v>
      </c>
      <c r="C26" s="104" t="s">
        <v>178</v>
      </c>
      <c r="D26" s="112" t="n">
        <v>45322</v>
      </c>
      <c r="E26" s="112" t="n">
        <v>45322</v>
      </c>
      <c r="F26" s="46"/>
      <c r="G26" s="44" t="s">
        <v>156</v>
      </c>
      <c r="H26" s="92" t="s">
        <v>205</v>
      </c>
    </row>
    <row r="27" customFormat="false" ht="45.75" hidden="false" customHeight="false" outlineLevel="0" collapsed="false">
      <c r="A27" s="102" t="n">
        <f aca="false">IF(B26="","",A26+1)</f>
        <v>25</v>
      </c>
      <c r="B27" s="111" t="s">
        <v>206</v>
      </c>
      <c r="C27" s="104" t="s">
        <v>178</v>
      </c>
      <c r="D27" s="112" t="n">
        <v>45322</v>
      </c>
      <c r="E27" s="112" t="n">
        <v>45322</v>
      </c>
      <c r="F27" s="46"/>
      <c r="G27" s="44" t="s">
        <v>156</v>
      </c>
      <c r="H27" s="92" t="s">
        <v>207</v>
      </c>
    </row>
    <row r="28" customFormat="false" ht="45.75" hidden="false" customHeight="false" outlineLevel="0" collapsed="false">
      <c r="A28" s="102" t="n">
        <f aca="false">IF(B27="","",A27+1)</f>
        <v>26</v>
      </c>
      <c r="B28" s="111" t="s">
        <v>208</v>
      </c>
      <c r="C28" s="104" t="s">
        <v>209</v>
      </c>
      <c r="D28" s="112" t="n">
        <v>45322</v>
      </c>
      <c r="E28" s="112" t="n">
        <v>45322</v>
      </c>
      <c r="F28" s="46"/>
      <c r="G28" s="44" t="s">
        <v>156</v>
      </c>
      <c r="H28" s="92"/>
    </row>
    <row r="29" customFormat="false" ht="16.4" hidden="false" customHeight="false" outlineLevel="0" collapsed="false">
      <c r="A29" s="102" t="n">
        <f aca="false">IF(B28="","",A28+1)</f>
        <v>27</v>
      </c>
      <c r="B29" s="111" t="s">
        <v>210</v>
      </c>
      <c r="C29" s="104" t="s">
        <v>211</v>
      </c>
      <c r="D29" s="112" t="n">
        <v>45322</v>
      </c>
      <c r="E29" s="112" t="n">
        <v>45322</v>
      </c>
      <c r="F29" s="46"/>
      <c r="G29" s="44" t="s">
        <v>58</v>
      </c>
      <c r="H29" s="92" t="s">
        <v>212</v>
      </c>
    </row>
    <row r="30" customFormat="false" ht="45.75" hidden="false" customHeight="false" outlineLevel="0" collapsed="false">
      <c r="A30" s="102" t="n">
        <f aca="false">IF(B29="","",A29+1)</f>
        <v>28</v>
      </c>
      <c r="B30" s="111" t="s">
        <v>213</v>
      </c>
      <c r="C30" s="104" t="s">
        <v>214</v>
      </c>
      <c r="D30" s="112" t="n">
        <v>45322</v>
      </c>
      <c r="E30" s="112" t="n">
        <v>45329</v>
      </c>
      <c r="F30" s="46"/>
      <c r="G30" s="44" t="s">
        <v>156</v>
      </c>
      <c r="H30" s="92" t="s">
        <v>215</v>
      </c>
    </row>
    <row r="31" customFormat="false" ht="15" hidden="false" customHeight="false" outlineLevel="0" collapsed="false">
      <c r="A31" s="113"/>
      <c r="F31" s="98"/>
      <c r="G31" s="99"/>
    </row>
    <row r="32" customFormat="false" ht="15" hidden="false" customHeight="false" outlineLevel="0" collapsed="false">
      <c r="A32" s="113"/>
      <c r="F32" s="98"/>
      <c r="G32" s="99"/>
    </row>
    <row r="33" customFormat="false" ht="15" hidden="false" customHeight="false" outlineLevel="0" collapsed="false">
      <c r="A33" s="113"/>
      <c r="F33" s="98"/>
      <c r="G33" s="99"/>
    </row>
    <row r="34" customFormat="false" ht="15" hidden="false" customHeight="false" outlineLevel="0" collapsed="false">
      <c r="A34" s="113"/>
      <c r="F34" s="98"/>
      <c r="G34" s="99"/>
    </row>
    <row r="35" customFormat="false" ht="15" hidden="false" customHeight="false" outlineLevel="0" collapsed="false">
      <c r="A35" s="113"/>
      <c r="F35" s="98"/>
      <c r="G35" s="99"/>
    </row>
    <row r="36" customFormat="false" ht="15" hidden="false" customHeight="false" outlineLevel="0" collapsed="false">
      <c r="A36" s="113"/>
      <c r="F36" s="98"/>
      <c r="G36" s="99"/>
    </row>
    <row r="37" customFormat="false" ht="15" hidden="false" customHeight="false" outlineLevel="0" collapsed="false">
      <c r="A37" s="113"/>
      <c r="F37" s="98"/>
      <c r="G37" s="99"/>
    </row>
    <row r="38" customFormat="false" ht="15" hidden="false" customHeight="false" outlineLevel="0" collapsed="false">
      <c r="A38" s="113"/>
      <c r="B38" s="114"/>
      <c r="F38" s="98"/>
      <c r="G38" s="99"/>
    </row>
    <row r="39" customFormat="false" ht="15" hidden="false" customHeight="false" outlineLevel="0" collapsed="false">
      <c r="A39" s="113"/>
      <c r="B39" s="94"/>
      <c r="C39" s="96"/>
      <c r="D39" s="98"/>
      <c r="E39" s="98"/>
      <c r="F39" s="98"/>
      <c r="G39" s="99"/>
    </row>
    <row r="40" customFormat="false" ht="15" hidden="false" customHeight="false" outlineLevel="0" collapsed="false">
      <c r="A40" s="113"/>
      <c r="B40" s="94"/>
      <c r="C40" s="94"/>
      <c r="D40" s="115"/>
      <c r="E40" s="115"/>
      <c r="F40" s="115"/>
      <c r="G40" s="115"/>
    </row>
    <row r="41" customFormat="false" ht="15" hidden="false" customHeight="false" outlineLevel="0" collapsed="false"/>
  </sheetData>
  <mergeCells count="1">
    <mergeCell ref="A1:H1"/>
  </mergeCells>
  <dataValidations count="1">
    <dataValidation allowBlank="true" errorStyle="stop" operator="between" showDropDown="false" showErrorMessage="true" showInputMessage="true" sqref="G3:G1030" type="list">
      <formula1>LOV!$B$2:$B$3</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3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2" topLeftCell="F5" activePane="bottomRight" state="frozen"/>
      <selection pane="topLeft" activeCell="A1" activeCellId="0" sqref="A1"/>
      <selection pane="topRight" activeCell="F1" activeCellId="0" sqref="F1"/>
      <selection pane="bottomLeft" activeCell="A5" activeCellId="0" sqref="A5"/>
      <selection pane="bottomRight" activeCell="I8" activeCellId="0" sqref="I8"/>
    </sheetView>
  </sheetViews>
  <sheetFormatPr defaultColWidth="9.14453125" defaultRowHeight="15" zeroHeight="false" outlineLevelRow="0" outlineLevelCol="0"/>
  <cols>
    <col collapsed="false" customWidth="true" hidden="false" outlineLevel="0" max="1" min="1" style="66" width="11.28"/>
    <col collapsed="false" customWidth="true" hidden="false" outlineLevel="0" max="2" min="2" style="33" width="39.86"/>
    <col collapsed="false" customWidth="true" hidden="false" outlineLevel="0" max="3" min="3" style="32" width="34.29"/>
    <col collapsed="false" customWidth="true" hidden="false" outlineLevel="0" max="4" min="4" style="31" width="14.29"/>
    <col collapsed="false" customWidth="true" hidden="false" outlineLevel="0" max="5" min="5" style="32" width="34.29"/>
    <col collapsed="false" customWidth="true" hidden="false" outlineLevel="0" max="6" min="6" style="32" width="14.29"/>
    <col collapsed="false" customWidth="true" hidden="false" outlineLevel="0" max="7" min="7" style="32" width="15.28"/>
    <col collapsed="false" customWidth="true" hidden="false" outlineLevel="0" max="8" min="8" style="32" width="18.29"/>
    <col collapsed="false" customWidth="true" hidden="false" outlineLevel="0" max="9" min="9" style="32" width="19.15"/>
    <col collapsed="false" customWidth="true" hidden="false" outlineLevel="0" max="10" min="10" style="32" width="13.43"/>
    <col collapsed="false" customWidth="true" hidden="false" outlineLevel="0" max="11" min="11" style="116" width="45.71"/>
    <col collapsed="false" customWidth="false" hidden="false" outlineLevel="0" max="16384" min="12" style="32" width="9.14"/>
  </cols>
  <sheetData>
    <row r="1" customFormat="false" ht="19.7" hidden="false" customHeight="false" outlineLevel="0" collapsed="false">
      <c r="A1" s="34" t="s">
        <v>216</v>
      </c>
      <c r="B1" s="34"/>
      <c r="C1" s="34"/>
      <c r="D1" s="34"/>
      <c r="E1" s="34"/>
      <c r="F1" s="34"/>
      <c r="G1" s="34"/>
      <c r="H1" s="34"/>
      <c r="I1" s="34"/>
      <c r="J1" s="34"/>
      <c r="K1" s="34"/>
    </row>
    <row r="2" customFormat="false" ht="16.4" hidden="false" customHeight="false" outlineLevel="0" collapsed="false">
      <c r="A2" s="117" t="s">
        <v>40</v>
      </c>
      <c r="B2" s="117" t="s">
        <v>159</v>
      </c>
      <c r="C2" s="117" t="s">
        <v>217</v>
      </c>
      <c r="D2" s="117" t="s">
        <v>218</v>
      </c>
      <c r="E2" s="117" t="s">
        <v>219</v>
      </c>
      <c r="F2" s="117" t="s">
        <v>47</v>
      </c>
      <c r="G2" s="117" t="s">
        <v>48</v>
      </c>
      <c r="H2" s="117" t="s">
        <v>220</v>
      </c>
      <c r="I2" s="117" t="s">
        <v>221</v>
      </c>
      <c r="J2" s="117" t="s">
        <v>222</v>
      </c>
      <c r="K2" s="118" t="s">
        <v>51</v>
      </c>
    </row>
    <row r="3" customFormat="false" ht="135.8" hidden="false" customHeight="false" outlineLevel="0" collapsed="false">
      <c r="A3" s="28" t="n">
        <f aca="false">ROW()-2</f>
        <v>1</v>
      </c>
      <c r="B3" s="39" t="s">
        <v>223</v>
      </c>
      <c r="C3" s="39" t="s">
        <v>224</v>
      </c>
      <c r="D3" s="40" t="s">
        <v>142</v>
      </c>
      <c r="E3" s="39" t="s">
        <v>225</v>
      </c>
      <c r="F3" s="41" t="s">
        <v>163</v>
      </c>
      <c r="G3" s="112" t="n">
        <v>45322</v>
      </c>
      <c r="H3" s="46"/>
      <c r="I3" s="43" t="n">
        <v>45327</v>
      </c>
      <c r="J3" s="44" t="s">
        <v>34</v>
      </c>
      <c r="K3" s="119"/>
    </row>
    <row r="4" customFormat="false" ht="105.95" hidden="false" customHeight="false" outlineLevel="0" collapsed="false">
      <c r="A4" s="28" t="n">
        <v>2</v>
      </c>
      <c r="B4" s="39" t="s">
        <v>226</v>
      </c>
      <c r="C4" s="39" t="s">
        <v>224</v>
      </c>
      <c r="D4" s="40" t="s">
        <v>88</v>
      </c>
      <c r="E4" s="39" t="s">
        <v>227</v>
      </c>
      <c r="F4" s="41" t="s">
        <v>202</v>
      </c>
      <c r="G4" s="112" t="n">
        <v>45322</v>
      </c>
      <c r="H4" s="43"/>
      <c r="I4" s="43" t="n">
        <v>45330</v>
      </c>
      <c r="J4" s="44" t="s">
        <v>34</v>
      </c>
      <c r="K4" s="119"/>
    </row>
    <row r="5" customFormat="false" ht="135.8" hidden="false" customHeight="false" outlineLevel="0" collapsed="false">
      <c r="A5" s="28" t="n">
        <f aca="false">IF(B3="","",A4+1)</f>
        <v>3</v>
      </c>
      <c r="B5" s="39" t="s">
        <v>228</v>
      </c>
      <c r="C5" s="39" t="s">
        <v>224</v>
      </c>
      <c r="D5" s="40" t="s">
        <v>88</v>
      </c>
      <c r="E5" s="33" t="s">
        <v>229</v>
      </c>
      <c r="F5" s="41" t="s">
        <v>202</v>
      </c>
      <c r="G5" s="112" t="n">
        <v>45322</v>
      </c>
      <c r="H5" s="43"/>
      <c r="I5" s="43" t="n">
        <v>45332</v>
      </c>
      <c r="J5" s="44" t="s">
        <v>34</v>
      </c>
      <c r="K5" s="119"/>
    </row>
    <row r="6" customFormat="false" ht="91" hidden="false" customHeight="false" outlineLevel="0" collapsed="false">
      <c r="A6" s="28" t="n">
        <v>4</v>
      </c>
      <c r="B6" s="39" t="s">
        <v>230</v>
      </c>
      <c r="C6" s="39" t="s">
        <v>224</v>
      </c>
      <c r="D6" s="40" t="s">
        <v>88</v>
      </c>
      <c r="E6" s="39" t="s">
        <v>231</v>
      </c>
      <c r="F6" s="41" t="s">
        <v>202</v>
      </c>
      <c r="G6" s="112" t="n">
        <v>45322</v>
      </c>
      <c r="H6" s="43"/>
      <c r="I6" s="43" t="n">
        <v>45327</v>
      </c>
      <c r="J6" s="44" t="s">
        <v>34</v>
      </c>
      <c r="K6" s="119"/>
    </row>
    <row r="7" customFormat="false" ht="120.85" hidden="false" customHeight="false" outlineLevel="0" collapsed="false">
      <c r="A7" s="28" t="n">
        <f aca="false">IF(B6="","",A6+1)</f>
        <v>5</v>
      </c>
      <c r="B7" s="39" t="s">
        <v>232</v>
      </c>
      <c r="C7" s="39" t="s">
        <v>224</v>
      </c>
      <c r="D7" s="40" t="s">
        <v>88</v>
      </c>
      <c r="E7" s="39" t="s">
        <v>233</v>
      </c>
      <c r="F7" s="41" t="s">
        <v>202</v>
      </c>
      <c r="G7" s="112" t="n">
        <v>45322</v>
      </c>
      <c r="H7" s="112" t="n">
        <v>45350</v>
      </c>
      <c r="I7" s="43"/>
      <c r="J7" s="44"/>
      <c r="K7" s="119" t="s">
        <v>234</v>
      </c>
    </row>
    <row r="8" customFormat="false" ht="60.75" hidden="false" customHeight="false" outlineLevel="0" collapsed="false">
      <c r="A8" s="28" t="n">
        <v>6</v>
      </c>
      <c r="B8" s="39" t="s">
        <v>235</v>
      </c>
      <c r="C8" s="39" t="s">
        <v>236</v>
      </c>
      <c r="D8" s="40" t="s">
        <v>88</v>
      </c>
      <c r="E8" s="39" t="s">
        <v>237</v>
      </c>
      <c r="F8" s="41" t="s">
        <v>202</v>
      </c>
      <c r="G8" s="112" t="n">
        <v>45343</v>
      </c>
      <c r="H8" s="43"/>
      <c r="I8" s="43"/>
      <c r="J8" s="44"/>
      <c r="K8" s="119"/>
    </row>
    <row r="9" customFormat="false" ht="15" hidden="false" customHeight="false" outlineLevel="0" collapsed="false">
      <c r="A9" s="28" t="n">
        <f aca="false">IF(B8="","",A8+1)</f>
        <v>7</v>
      </c>
      <c r="B9" s="39"/>
      <c r="C9" s="39"/>
      <c r="D9" s="40"/>
      <c r="E9" s="39"/>
      <c r="F9" s="41"/>
      <c r="G9" s="43"/>
      <c r="H9" s="43"/>
      <c r="I9" s="43"/>
      <c r="J9" s="44"/>
      <c r="K9" s="119"/>
    </row>
    <row r="10" customFormat="false" ht="15" hidden="false" customHeight="false" outlineLevel="0" collapsed="false">
      <c r="A10" s="28"/>
      <c r="B10" s="39"/>
      <c r="C10" s="39"/>
      <c r="D10" s="40"/>
      <c r="E10" s="39"/>
      <c r="F10" s="41"/>
      <c r="G10" s="46"/>
      <c r="H10" s="46"/>
      <c r="I10" s="46"/>
      <c r="J10" s="44"/>
      <c r="K10" s="119"/>
    </row>
    <row r="11" customFormat="false" ht="15" hidden="false" customHeight="false" outlineLevel="0" collapsed="false">
      <c r="A11" s="28"/>
      <c r="B11" s="39"/>
      <c r="C11" s="39"/>
      <c r="D11" s="40"/>
      <c r="E11" s="39"/>
      <c r="F11" s="41"/>
      <c r="G11" s="46"/>
      <c r="H11" s="46"/>
      <c r="I11" s="46"/>
      <c r="J11" s="44"/>
      <c r="K11" s="119"/>
    </row>
    <row r="12" customFormat="false" ht="15" hidden="false" customHeight="false" outlineLevel="0" collapsed="false">
      <c r="A12" s="28" t="str">
        <f aca="false">IF(B11="","",A11+1)</f>
        <v/>
      </c>
      <c r="B12" s="39"/>
      <c r="C12" s="39"/>
      <c r="D12" s="40"/>
      <c r="E12" s="39"/>
      <c r="F12" s="41"/>
      <c r="G12" s="46"/>
      <c r="H12" s="46"/>
      <c r="I12" s="46"/>
      <c r="J12" s="44"/>
      <c r="K12" s="119"/>
    </row>
    <row r="13" customFormat="false" ht="15" hidden="false" customHeight="false" outlineLevel="0" collapsed="false">
      <c r="A13" s="28" t="str">
        <f aca="false">IF(B12="","",A12+1)</f>
        <v/>
      </c>
      <c r="B13" s="39"/>
      <c r="C13" s="39"/>
      <c r="D13" s="40"/>
      <c r="E13" s="39"/>
      <c r="F13" s="41"/>
      <c r="G13" s="46"/>
      <c r="H13" s="46"/>
      <c r="I13" s="46"/>
      <c r="J13" s="44"/>
      <c r="K13" s="119"/>
    </row>
    <row r="14" customFormat="false" ht="15" hidden="false" customHeight="false" outlineLevel="0" collapsed="false">
      <c r="A14" s="28" t="str">
        <f aca="false">IF(B13="","",A13+1)</f>
        <v/>
      </c>
      <c r="B14" s="39"/>
      <c r="C14" s="39"/>
      <c r="D14" s="40"/>
      <c r="E14" s="39"/>
      <c r="F14" s="41"/>
      <c r="G14" s="46"/>
      <c r="H14" s="46"/>
      <c r="I14" s="46"/>
      <c r="J14" s="44"/>
      <c r="K14" s="119"/>
    </row>
    <row r="15" customFormat="false" ht="15" hidden="false" customHeight="false" outlineLevel="0" collapsed="false">
      <c r="A15" s="28" t="str">
        <f aca="false">IF(B14="","",A14+1)</f>
        <v/>
      </c>
      <c r="B15" s="39"/>
      <c r="C15" s="39"/>
      <c r="D15" s="40"/>
      <c r="E15" s="39"/>
      <c r="F15" s="41"/>
      <c r="G15" s="46"/>
      <c r="H15" s="46"/>
      <c r="I15" s="46"/>
      <c r="J15" s="44"/>
      <c r="K15" s="119"/>
    </row>
    <row r="16" customFormat="false" ht="15" hidden="false" customHeight="false" outlineLevel="0" collapsed="false">
      <c r="A16" s="28" t="str">
        <f aca="false">IF(B15="","",A15+1)</f>
        <v/>
      </c>
      <c r="B16" s="39"/>
      <c r="C16" s="39"/>
      <c r="D16" s="40"/>
      <c r="E16" s="39"/>
      <c r="F16" s="41"/>
      <c r="G16" s="46"/>
      <c r="H16" s="46"/>
      <c r="I16" s="46"/>
      <c r="J16" s="44"/>
      <c r="K16" s="119"/>
    </row>
    <row r="17" customFormat="false" ht="15" hidden="false" customHeight="false" outlineLevel="0" collapsed="false">
      <c r="A17" s="28" t="str">
        <f aca="false">IF(B16="","",A16+1)</f>
        <v/>
      </c>
      <c r="B17" s="39"/>
      <c r="C17" s="39"/>
      <c r="D17" s="40"/>
      <c r="E17" s="39"/>
      <c r="F17" s="41"/>
      <c r="G17" s="46"/>
      <c r="H17" s="46"/>
      <c r="I17" s="46"/>
      <c r="J17" s="44"/>
      <c r="K17" s="119"/>
    </row>
    <row r="18" customFormat="false" ht="15" hidden="false" customHeight="false" outlineLevel="0" collapsed="false">
      <c r="A18" s="28" t="str">
        <f aca="false">IF(B17="","",A17+1)</f>
        <v/>
      </c>
      <c r="B18" s="39"/>
      <c r="C18" s="39"/>
      <c r="D18" s="40"/>
      <c r="E18" s="39"/>
      <c r="F18" s="41"/>
      <c r="G18" s="46"/>
      <c r="H18" s="46"/>
      <c r="I18" s="46"/>
      <c r="J18" s="44"/>
      <c r="K18" s="119"/>
    </row>
    <row r="19" customFormat="false" ht="15" hidden="false" customHeight="false" outlineLevel="0" collapsed="false">
      <c r="A19" s="120" t="str">
        <f aca="false">IF(B18="","",A18+1)</f>
        <v/>
      </c>
      <c r="B19" s="94"/>
      <c r="C19" s="94"/>
      <c r="D19" s="95"/>
      <c r="E19" s="94"/>
      <c r="F19" s="96"/>
      <c r="G19" s="98"/>
      <c r="H19" s="98"/>
      <c r="I19" s="98"/>
      <c r="J19" s="99"/>
    </row>
    <row r="20" customFormat="false" ht="15" hidden="false" customHeight="false" outlineLevel="0" collapsed="false">
      <c r="A20" s="120" t="str">
        <f aca="false">IF(B19="","",A19+1)</f>
        <v/>
      </c>
      <c r="B20" s="94"/>
      <c r="C20" s="94"/>
      <c r="D20" s="95"/>
      <c r="E20" s="94"/>
      <c r="F20" s="96"/>
      <c r="G20" s="98"/>
      <c r="H20" s="98"/>
      <c r="I20" s="98"/>
      <c r="J20" s="99"/>
    </row>
    <row r="21" customFormat="false" ht="15" hidden="false" customHeight="false" outlineLevel="0" collapsed="false">
      <c r="A21" s="120" t="str">
        <f aca="false">IF(B20="","",A20+1)</f>
        <v/>
      </c>
      <c r="B21" s="94"/>
      <c r="C21" s="94"/>
      <c r="D21" s="95"/>
      <c r="E21" s="94"/>
      <c r="F21" s="96"/>
      <c r="G21" s="98"/>
      <c r="H21" s="98"/>
      <c r="I21" s="98"/>
      <c r="J21" s="99"/>
    </row>
    <row r="22" customFormat="false" ht="15" hidden="false" customHeight="false" outlineLevel="0" collapsed="false">
      <c r="A22" s="120" t="str">
        <f aca="false">IF(B21="","",A21+1)</f>
        <v/>
      </c>
      <c r="B22" s="94"/>
      <c r="C22" s="94"/>
      <c r="D22" s="95"/>
      <c r="E22" s="94"/>
      <c r="F22" s="96"/>
      <c r="G22" s="98"/>
      <c r="H22" s="98"/>
      <c r="I22" s="98"/>
      <c r="J22" s="99"/>
    </row>
    <row r="23" customFormat="false" ht="15" hidden="false" customHeight="false" outlineLevel="0" collapsed="false">
      <c r="A23" s="120" t="str">
        <f aca="false">IF(B22="","",A22+1)</f>
        <v/>
      </c>
      <c r="B23" s="94"/>
      <c r="C23" s="94"/>
      <c r="D23" s="95"/>
      <c r="E23" s="94"/>
      <c r="F23" s="96"/>
      <c r="G23" s="98"/>
      <c r="H23" s="98"/>
      <c r="I23" s="98"/>
      <c r="J23" s="99"/>
    </row>
    <row r="24" customFormat="false" ht="15" hidden="false" customHeight="false" outlineLevel="0" collapsed="false">
      <c r="A24" s="120" t="str">
        <f aca="false">IF(B23="","",A23+1)</f>
        <v/>
      </c>
      <c r="B24" s="94"/>
      <c r="C24" s="94"/>
      <c r="D24" s="95"/>
      <c r="E24" s="94"/>
      <c r="F24" s="96"/>
      <c r="G24" s="98"/>
      <c r="H24" s="98"/>
      <c r="I24" s="98"/>
      <c r="J24" s="99"/>
    </row>
    <row r="25" customFormat="false" ht="15" hidden="false" customHeight="false" outlineLevel="0" collapsed="false">
      <c r="A25" s="120" t="str">
        <f aca="false">IF(B24="","",A24+1)</f>
        <v/>
      </c>
      <c r="B25" s="94"/>
      <c r="C25" s="94"/>
      <c r="D25" s="95"/>
      <c r="E25" s="94"/>
      <c r="F25" s="96"/>
      <c r="G25" s="98"/>
      <c r="H25" s="98"/>
      <c r="I25" s="98"/>
      <c r="J25" s="99"/>
    </row>
    <row r="26" customFormat="false" ht="15" hidden="false" customHeight="false" outlineLevel="0" collapsed="false">
      <c r="A26" s="120" t="str">
        <f aca="false">IF(B25="","",A25+1)</f>
        <v/>
      </c>
      <c r="B26" s="94"/>
      <c r="C26" s="94"/>
      <c r="D26" s="95"/>
      <c r="E26" s="94"/>
      <c r="F26" s="96"/>
      <c r="G26" s="98"/>
      <c r="H26" s="98"/>
      <c r="I26" s="98"/>
      <c r="J26" s="99"/>
    </row>
    <row r="27" customFormat="false" ht="15" hidden="false" customHeight="false" outlineLevel="0" collapsed="false">
      <c r="A27" s="120" t="str">
        <f aca="false">IF(B26="","",A26+1)</f>
        <v/>
      </c>
      <c r="B27" s="94"/>
      <c r="C27" s="94"/>
      <c r="D27" s="95"/>
      <c r="E27" s="94"/>
      <c r="F27" s="96"/>
      <c r="G27" s="98"/>
      <c r="H27" s="98"/>
      <c r="I27" s="98"/>
      <c r="J27" s="99"/>
    </row>
    <row r="28" customFormat="false" ht="15" hidden="false" customHeight="false" outlineLevel="0" collapsed="false">
      <c r="A28" s="121" t="str">
        <f aca="false">IF(B27="","",A27+1)</f>
        <v/>
      </c>
      <c r="B28" s="94"/>
      <c r="C28" s="94"/>
      <c r="D28" s="95"/>
      <c r="E28" s="94"/>
      <c r="F28" s="96"/>
      <c r="G28" s="98"/>
      <c r="H28" s="98"/>
      <c r="I28" s="98"/>
      <c r="J28" s="99"/>
    </row>
    <row r="29" customFormat="false" ht="15" hidden="false" customHeight="false" outlineLevel="0" collapsed="false">
      <c r="A29" s="121" t="str">
        <f aca="false">IF(B28="","",A28+1)</f>
        <v/>
      </c>
      <c r="B29" s="94"/>
      <c r="C29" s="94"/>
      <c r="D29" s="95"/>
      <c r="E29" s="94"/>
      <c r="F29" s="96"/>
      <c r="G29" s="98"/>
      <c r="H29" s="98"/>
      <c r="I29" s="98"/>
      <c r="J29" s="99"/>
    </row>
    <row r="30" customFormat="false" ht="15" hidden="false" customHeight="false" outlineLevel="0" collapsed="false">
      <c r="A30" s="121" t="str">
        <f aca="false">IF(B29="","",A29+1)</f>
        <v/>
      </c>
      <c r="B30" s="94"/>
      <c r="C30" s="94"/>
      <c r="D30" s="95"/>
      <c r="E30" s="94"/>
      <c r="F30" s="96"/>
      <c r="G30" s="98"/>
      <c r="H30" s="98"/>
      <c r="I30" s="98"/>
      <c r="J30" s="99"/>
    </row>
    <row r="31" customFormat="false" ht="15" hidden="false" customHeight="false" outlineLevel="0" collapsed="false">
      <c r="A31" s="121" t="str">
        <f aca="false">IF(B30="","",A30+1)</f>
        <v/>
      </c>
      <c r="B31" s="94"/>
      <c r="C31" s="94"/>
      <c r="D31" s="95"/>
      <c r="E31" s="94"/>
      <c r="F31" s="96"/>
      <c r="G31" s="98"/>
      <c r="H31" s="98"/>
      <c r="I31" s="98"/>
      <c r="J31" s="99"/>
    </row>
    <row r="32" customFormat="false" ht="15" hidden="false" customHeight="false" outlineLevel="0" collapsed="false">
      <c r="A32" s="121" t="str">
        <f aca="false">IF(B31="","",A31+1)</f>
        <v/>
      </c>
      <c r="B32" s="94"/>
      <c r="C32" s="94"/>
      <c r="D32" s="95"/>
      <c r="E32" s="94"/>
      <c r="F32" s="96"/>
      <c r="G32" s="98"/>
      <c r="H32" s="98"/>
      <c r="I32" s="98"/>
      <c r="J32" s="99"/>
    </row>
    <row r="33" customFormat="false" ht="15" hidden="false" customHeight="false" outlineLevel="0" collapsed="false">
      <c r="A33" s="121" t="str">
        <f aca="false">IF(B32="","",A32+1)</f>
        <v/>
      </c>
      <c r="B33" s="94"/>
      <c r="C33" s="94"/>
      <c r="D33" s="95"/>
      <c r="E33" s="94"/>
      <c r="F33" s="96"/>
      <c r="G33" s="98"/>
      <c r="H33" s="98"/>
      <c r="I33" s="98"/>
      <c r="J33" s="99"/>
    </row>
    <row r="34" customFormat="false" ht="15" hidden="false" customHeight="false" outlineLevel="0" collapsed="false">
      <c r="A34" s="121" t="str">
        <f aca="false">IF(B33="","",A33+1)</f>
        <v/>
      </c>
      <c r="B34" s="94"/>
      <c r="C34" s="94"/>
      <c r="D34" s="95"/>
      <c r="E34" s="94"/>
      <c r="F34" s="96"/>
      <c r="G34" s="98"/>
      <c r="H34" s="98"/>
      <c r="I34" s="98"/>
      <c r="J34" s="99"/>
    </row>
    <row r="35" customFormat="false" ht="15" hidden="false" customHeight="false" outlineLevel="0" collapsed="false">
      <c r="A35" s="121" t="str">
        <f aca="false">IF(B34="","",A34+1)</f>
        <v/>
      </c>
      <c r="B35" s="94"/>
      <c r="C35" s="94"/>
      <c r="D35" s="95"/>
      <c r="E35" s="94"/>
      <c r="F35" s="96"/>
      <c r="G35" s="98"/>
      <c r="H35" s="98"/>
      <c r="I35" s="98"/>
      <c r="J35" s="99"/>
    </row>
    <row r="36" customFormat="false" ht="15" hidden="false" customHeight="false" outlineLevel="0" collapsed="false">
      <c r="A36" s="121" t="str">
        <f aca="false">IF(B35="","",A35+1)</f>
        <v/>
      </c>
      <c r="B36" s="94"/>
      <c r="C36" s="94"/>
      <c r="D36" s="95"/>
      <c r="E36" s="94"/>
      <c r="F36" s="96"/>
      <c r="G36" s="98"/>
      <c r="H36" s="98"/>
      <c r="I36" s="98"/>
      <c r="J36" s="99"/>
    </row>
    <row r="37" customFormat="false" ht="15" hidden="false" customHeight="false" outlineLevel="0" collapsed="false">
      <c r="A37" s="121" t="str">
        <f aca="false">IF(B36="","",A36+1)</f>
        <v/>
      </c>
      <c r="B37" s="94"/>
      <c r="C37" s="94"/>
      <c r="D37" s="95"/>
      <c r="E37" s="94"/>
      <c r="F37" s="96"/>
      <c r="G37" s="98"/>
      <c r="H37" s="98"/>
      <c r="I37" s="98"/>
      <c r="J37" s="99"/>
    </row>
    <row r="38" customFormat="false" ht="15" hidden="false" customHeight="false" outlineLevel="0" collapsed="false">
      <c r="A38" s="121" t="str">
        <f aca="false">IF(B37="","",A37+1)</f>
        <v/>
      </c>
      <c r="B38" s="94"/>
      <c r="C38" s="94"/>
      <c r="D38" s="95"/>
      <c r="E38" s="94"/>
      <c r="F38" s="96"/>
      <c r="G38" s="98"/>
      <c r="H38" s="98"/>
      <c r="I38" s="98"/>
      <c r="J38" s="99"/>
    </row>
    <row r="39" customFormat="false" ht="15" hidden="false" customHeight="false" outlineLevel="0" collapsed="false">
      <c r="A39" s="121" t="str">
        <f aca="false">IF(B38="","",A38+1)</f>
        <v/>
      </c>
      <c r="B39" s="94"/>
      <c r="C39" s="94"/>
      <c r="E39" s="94"/>
      <c r="F39" s="94"/>
      <c r="G39" s="115"/>
      <c r="H39" s="115"/>
      <c r="I39" s="115"/>
      <c r="J39" s="115"/>
    </row>
  </sheetData>
  <mergeCells count="1">
    <mergeCell ref="A1:K1"/>
  </mergeCells>
  <dataValidations count="2">
    <dataValidation allowBlank="true" errorStyle="stop" operator="between" showDropDown="false" showErrorMessage="true" showInputMessage="true" sqref="J3:J1039" type="list">
      <formula1>LOV!$F$2:$F$3</formula1>
      <formula2>0</formula2>
    </dataValidation>
    <dataValidation allowBlank="true" errorStyle="stop" operator="between" showDropDown="false" showErrorMessage="true" showInputMessage="true" sqref="D3:D1039" type="list">
      <formula1>LOV!$D$2:$D$6</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4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2" topLeftCell="C8" activePane="bottomRight" state="frozen"/>
      <selection pane="topLeft" activeCell="A1" activeCellId="0" sqref="A1"/>
      <selection pane="topRight" activeCell="C1" activeCellId="0" sqref="C1"/>
      <selection pane="bottomLeft" activeCell="A8" activeCellId="0" sqref="A8"/>
      <selection pane="bottomRight" activeCell="A30" activeCellId="0" sqref="A30"/>
    </sheetView>
  </sheetViews>
  <sheetFormatPr defaultColWidth="9.14453125" defaultRowHeight="14.25" zeroHeight="false" outlineLevelRow="0" outlineLevelCol="0"/>
  <cols>
    <col collapsed="false" customWidth="true" hidden="false" outlineLevel="0" max="1" min="1" style="31" width="15.28"/>
    <col collapsed="false" customWidth="true" hidden="false" outlineLevel="0" max="2" min="2" style="32" width="32.14"/>
    <col collapsed="false" customWidth="true" hidden="false" outlineLevel="0" max="3" min="3" style="31" width="23.72"/>
    <col collapsed="false" customWidth="true" hidden="false" outlineLevel="0" max="4" min="4" style="31" width="20.57"/>
    <col collapsed="false" customWidth="true" hidden="false" outlineLevel="0" max="5" min="5" style="31" width="14.71"/>
    <col collapsed="false" customWidth="true" hidden="false" outlineLevel="0" max="6" min="6" style="31" width="12"/>
    <col collapsed="false" customWidth="true" hidden="false" outlineLevel="0" max="7" min="7" style="31" width="15"/>
    <col collapsed="false" customWidth="true" hidden="false" outlineLevel="0" max="8" min="8" style="31" width="16"/>
    <col collapsed="false" customWidth="true" hidden="false" outlineLevel="0" max="9" min="9" style="32" width="56.43"/>
    <col collapsed="false" customWidth="false" hidden="false" outlineLevel="0" max="16" min="10" style="32" width="9.14"/>
    <col collapsed="false" customWidth="true" hidden="true" outlineLevel="0" max="17" min="17" style="32" width="10.16"/>
    <col collapsed="false" customWidth="false" hidden="false" outlineLevel="0" max="16384" min="18" style="32" width="9.14"/>
  </cols>
  <sheetData>
    <row r="1" customFormat="false" ht="19.7" hidden="false" customHeight="false" outlineLevel="0" collapsed="false">
      <c r="A1" s="34" t="s">
        <v>238</v>
      </c>
      <c r="B1" s="34"/>
      <c r="C1" s="34"/>
      <c r="D1" s="34"/>
      <c r="E1" s="34"/>
      <c r="F1" s="34"/>
      <c r="G1" s="34"/>
      <c r="H1" s="34"/>
      <c r="I1" s="34"/>
    </row>
    <row r="2" s="37" customFormat="true" ht="31.3" hidden="false" customHeight="false" outlineLevel="0" collapsed="false">
      <c r="A2" s="35" t="s">
        <v>40</v>
      </c>
      <c r="B2" s="35" t="s">
        <v>159</v>
      </c>
      <c r="C2" s="35" t="s">
        <v>239</v>
      </c>
      <c r="D2" s="35" t="s">
        <v>240</v>
      </c>
      <c r="E2" s="35" t="s">
        <v>160</v>
      </c>
      <c r="F2" s="35" t="s">
        <v>241</v>
      </c>
      <c r="G2" s="35" t="s">
        <v>242</v>
      </c>
      <c r="H2" s="35" t="s">
        <v>50</v>
      </c>
      <c r="I2" s="35" t="s">
        <v>51</v>
      </c>
    </row>
    <row r="3" customFormat="false" ht="16.4" hidden="false" customHeight="false" outlineLevel="0" collapsed="false">
      <c r="A3" s="122" t="n">
        <f aca="false">ROW()-2</f>
        <v>1</v>
      </c>
      <c r="B3" s="39" t="s">
        <v>243</v>
      </c>
      <c r="C3" s="40" t="s">
        <v>244</v>
      </c>
      <c r="D3" s="40" t="s">
        <v>245</v>
      </c>
      <c r="E3" s="123" t="s">
        <v>246</v>
      </c>
      <c r="F3" s="124" t="s">
        <v>36</v>
      </c>
      <c r="G3" s="43"/>
      <c r="H3" s="44" t="s">
        <v>247</v>
      </c>
      <c r="I3" s="45"/>
    </row>
    <row r="4" customFormat="false" ht="16.4" hidden="false" customHeight="false" outlineLevel="0" collapsed="false">
      <c r="A4" s="122" t="n">
        <f aca="false">ROW()-2</f>
        <v>2</v>
      </c>
      <c r="B4" s="39" t="s">
        <v>248</v>
      </c>
      <c r="C4" s="40" t="s">
        <v>244</v>
      </c>
      <c r="D4" s="40" t="s">
        <v>245</v>
      </c>
      <c r="E4" s="123" t="n">
        <v>44622</v>
      </c>
      <c r="F4" s="124" t="s">
        <v>36</v>
      </c>
      <c r="G4" s="43"/>
      <c r="H4" s="44" t="s">
        <v>247</v>
      </c>
      <c r="I4" s="45"/>
    </row>
    <row r="5" customFormat="false" ht="16.4" hidden="false" customHeight="false" outlineLevel="0" collapsed="false">
      <c r="A5" s="122" t="n">
        <f aca="false">ROW()-2</f>
        <v>3</v>
      </c>
      <c r="B5" s="39" t="s">
        <v>249</v>
      </c>
      <c r="C5" s="40" t="s">
        <v>244</v>
      </c>
      <c r="D5" s="40" t="s">
        <v>245</v>
      </c>
      <c r="E5" s="81" t="n">
        <v>44650</v>
      </c>
      <c r="F5" s="125" t="s">
        <v>36</v>
      </c>
      <c r="G5" s="46"/>
      <c r="H5" s="44" t="s">
        <v>247</v>
      </c>
      <c r="I5" s="45"/>
    </row>
    <row r="6" customFormat="false" ht="16.4" hidden="false" customHeight="false" outlineLevel="0" collapsed="false">
      <c r="A6" s="122" t="n">
        <f aca="false">ROW()-2</f>
        <v>4</v>
      </c>
      <c r="B6" s="39" t="s">
        <v>250</v>
      </c>
      <c r="C6" s="40" t="s">
        <v>244</v>
      </c>
      <c r="D6" s="40" t="s">
        <v>245</v>
      </c>
      <c r="E6" s="126" t="n">
        <v>45107</v>
      </c>
      <c r="F6" s="125" t="s">
        <v>36</v>
      </c>
      <c r="G6" s="46"/>
      <c r="H6" s="44" t="s">
        <v>247</v>
      </c>
      <c r="I6" s="45"/>
    </row>
    <row r="7" customFormat="false" ht="16.4" hidden="false" customHeight="false" outlineLevel="0" collapsed="false">
      <c r="A7" s="38" t="n">
        <f aca="false">IF(B6="","",A6+1)</f>
        <v>5</v>
      </c>
      <c r="B7" s="39" t="s">
        <v>251</v>
      </c>
      <c r="C7" s="40" t="s">
        <v>252</v>
      </c>
      <c r="D7" s="40" t="s">
        <v>253</v>
      </c>
      <c r="E7" s="126" t="n">
        <v>45101</v>
      </c>
      <c r="F7" s="125" t="s">
        <v>36</v>
      </c>
      <c r="G7" s="126" t="n">
        <v>45101</v>
      </c>
      <c r="H7" s="44" t="s">
        <v>247</v>
      </c>
      <c r="I7" s="45" t="s">
        <v>254</v>
      </c>
    </row>
    <row r="8" customFormat="false" ht="45.75" hidden="false" customHeight="false" outlineLevel="0" collapsed="false">
      <c r="A8" s="38" t="n">
        <f aca="false">IF(B7="","",A7+1)</f>
        <v>6</v>
      </c>
      <c r="B8" s="39" t="s">
        <v>255</v>
      </c>
      <c r="C8" s="40" t="s">
        <v>244</v>
      </c>
      <c r="D8" s="40" t="s">
        <v>245</v>
      </c>
      <c r="E8" s="126" t="n">
        <v>45078</v>
      </c>
      <c r="F8" s="125" t="s">
        <v>36</v>
      </c>
      <c r="G8" s="126" t="n">
        <v>45078</v>
      </c>
      <c r="H8" s="44" t="s">
        <v>247</v>
      </c>
      <c r="I8" s="127" t="s">
        <v>256</v>
      </c>
    </row>
    <row r="9" customFormat="false" ht="30.75" hidden="false" customHeight="false" outlineLevel="0" collapsed="false">
      <c r="A9" s="122" t="n">
        <v>7</v>
      </c>
      <c r="B9" s="39" t="s">
        <v>257</v>
      </c>
      <c r="C9" s="40" t="s">
        <v>258</v>
      </c>
      <c r="D9" s="40" t="s">
        <v>253</v>
      </c>
      <c r="E9" s="126" t="n">
        <v>45204</v>
      </c>
      <c r="F9" s="125" t="s">
        <v>36</v>
      </c>
      <c r="G9" s="126" t="n">
        <v>45224</v>
      </c>
      <c r="H9" s="44" t="s">
        <v>247</v>
      </c>
      <c r="I9" s="127" t="s">
        <v>259</v>
      </c>
    </row>
    <row r="10" customFormat="false" ht="16.4" hidden="false" customHeight="false" outlineLevel="0" collapsed="false">
      <c r="A10" s="128" t="n">
        <f aca="false">ROW()-2</f>
        <v>8</v>
      </c>
      <c r="B10" s="48" t="s">
        <v>260</v>
      </c>
      <c r="C10" s="49" t="s">
        <v>258</v>
      </c>
      <c r="D10" s="49" t="s">
        <v>253</v>
      </c>
      <c r="E10" s="126" t="n">
        <v>45190</v>
      </c>
      <c r="F10" s="129" t="s">
        <v>36</v>
      </c>
      <c r="G10" s="126" t="n">
        <v>45224</v>
      </c>
      <c r="H10" s="44" t="s">
        <v>247</v>
      </c>
      <c r="I10" s="45" t="s">
        <v>261</v>
      </c>
    </row>
    <row r="11" customFormat="false" ht="16.4" hidden="false" customHeight="false" outlineLevel="0" collapsed="false">
      <c r="A11" s="122" t="n">
        <f aca="false">ROW()-2</f>
        <v>9</v>
      </c>
      <c r="B11" s="39" t="s">
        <v>262</v>
      </c>
      <c r="C11" s="40" t="s">
        <v>258</v>
      </c>
      <c r="D11" s="40" t="s">
        <v>253</v>
      </c>
      <c r="E11" s="126" t="n">
        <v>45214</v>
      </c>
      <c r="F11" s="125" t="s">
        <v>36</v>
      </c>
      <c r="G11" s="126" t="n">
        <v>45224</v>
      </c>
      <c r="H11" s="44" t="s">
        <v>247</v>
      </c>
      <c r="I11" s="45" t="s">
        <v>261</v>
      </c>
    </row>
    <row r="12" customFormat="false" ht="30.75" hidden="false" customHeight="false" outlineLevel="0" collapsed="false">
      <c r="A12" s="122" t="n">
        <v>9</v>
      </c>
      <c r="B12" s="39" t="s">
        <v>263</v>
      </c>
      <c r="C12" s="40" t="s">
        <v>244</v>
      </c>
      <c r="D12" s="40" t="s">
        <v>253</v>
      </c>
      <c r="E12" s="126" t="n">
        <v>45218</v>
      </c>
      <c r="F12" s="125" t="s">
        <v>36</v>
      </c>
      <c r="G12" s="46"/>
      <c r="H12" s="44" t="s">
        <v>264</v>
      </c>
      <c r="I12" s="130" t="s">
        <v>265</v>
      </c>
    </row>
    <row r="13" customFormat="false" ht="45.75" hidden="false" customHeight="false" outlineLevel="0" collapsed="false">
      <c r="A13" s="38" t="n">
        <f aca="false">IF(B12="","",A12+1)</f>
        <v>10</v>
      </c>
      <c r="B13" s="39" t="s">
        <v>266</v>
      </c>
      <c r="C13" s="40" t="s">
        <v>258</v>
      </c>
      <c r="D13" s="40" t="s">
        <v>253</v>
      </c>
      <c r="E13" s="126" t="n">
        <v>45238</v>
      </c>
      <c r="F13" s="125" t="s">
        <v>36</v>
      </c>
      <c r="G13" s="126" t="n">
        <v>45212</v>
      </c>
      <c r="H13" s="44" t="s">
        <v>247</v>
      </c>
      <c r="I13" s="127" t="s">
        <v>267</v>
      </c>
    </row>
    <row r="14" customFormat="false" ht="45.75" hidden="false" customHeight="false" outlineLevel="0" collapsed="false">
      <c r="A14" s="38" t="n">
        <f aca="false">IF(B13="","",A13+1)</f>
        <v>11</v>
      </c>
      <c r="B14" s="39" t="s">
        <v>266</v>
      </c>
      <c r="C14" s="40" t="s">
        <v>244</v>
      </c>
      <c r="D14" s="40" t="s">
        <v>253</v>
      </c>
      <c r="E14" s="126" t="n">
        <v>45256</v>
      </c>
      <c r="F14" s="125" t="s">
        <v>36</v>
      </c>
      <c r="G14" s="126"/>
      <c r="H14" s="44" t="s">
        <v>264</v>
      </c>
      <c r="I14" s="130" t="s">
        <v>268</v>
      </c>
    </row>
    <row r="15" customFormat="false" ht="16.4" hidden="false" customHeight="false" outlineLevel="0" collapsed="false">
      <c r="A15" s="38" t="n">
        <f aca="false">IF(B13="","",A13+1)</f>
        <v>11</v>
      </c>
      <c r="B15" s="39" t="s">
        <v>269</v>
      </c>
      <c r="C15" s="40" t="s">
        <v>258</v>
      </c>
      <c r="D15" s="40" t="s">
        <v>253</v>
      </c>
      <c r="E15" s="126" t="n">
        <v>45190</v>
      </c>
      <c r="F15" s="125" t="s">
        <v>36</v>
      </c>
      <c r="G15" s="126" t="n">
        <v>45205</v>
      </c>
      <c r="H15" s="44" t="s">
        <v>247</v>
      </c>
      <c r="I15" s="45" t="s">
        <v>270</v>
      </c>
    </row>
    <row r="16" customFormat="false" ht="16.4" hidden="false" customHeight="false" outlineLevel="0" collapsed="false">
      <c r="A16" s="38" t="n">
        <f aca="false">IF(B15="","",A15+1)</f>
        <v>12</v>
      </c>
      <c r="B16" s="39" t="s">
        <v>269</v>
      </c>
      <c r="C16" s="40" t="s">
        <v>244</v>
      </c>
      <c r="D16" s="40" t="s">
        <v>253</v>
      </c>
      <c r="E16" s="126" t="n">
        <v>45230</v>
      </c>
      <c r="F16" s="125" t="s">
        <v>36</v>
      </c>
      <c r="G16" s="126" t="n">
        <v>45230</v>
      </c>
      <c r="H16" s="44" t="s">
        <v>247</v>
      </c>
      <c r="I16" s="131" t="s">
        <v>271</v>
      </c>
    </row>
    <row r="17" customFormat="false" ht="16.4" hidden="false" customHeight="false" outlineLevel="0" collapsed="false">
      <c r="A17" s="38" t="n">
        <f aca="false">IF(B15="","",A15+1)</f>
        <v>12</v>
      </c>
      <c r="B17" s="39" t="s">
        <v>272</v>
      </c>
      <c r="C17" s="40" t="s">
        <v>258</v>
      </c>
      <c r="D17" s="40" t="s">
        <v>253</v>
      </c>
      <c r="E17" s="126" t="n">
        <v>45226</v>
      </c>
      <c r="F17" s="125" t="s">
        <v>36</v>
      </c>
      <c r="G17" s="126" t="n">
        <v>45243</v>
      </c>
      <c r="H17" s="44" t="s">
        <v>247</v>
      </c>
      <c r="I17" s="45" t="s">
        <v>261</v>
      </c>
    </row>
    <row r="18" customFormat="false" ht="16.4" hidden="false" customHeight="false" outlineLevel="0" collapsed="false">
      <c r="A18" s="38" t="n">
        <f aca="false">IF(B17="","",A17+1)</f>
        <v>13</v>
      </c>
      <c r="B18" s="39" t="s">
        <v>272</v>
      </c>
      <c r="C18" s="40" t="s">
        <v>244</v>
      </c>
      <c r="D18" s="40" t="s">
        <v>253</v>
      </c>
      <c r="E18" s="126" t="n">
        <v>45246</v>
      </c>
      <c r="F18" s="125" t="s">
        <v>36</v>
      </c>
      <c r="G18" s="126" t="n">
        <v>45274</v>
      </c>
      <c r="H18" s="44" t="s">
        <v>247</v>
      </c>
      <c r="I18" s="131" t="s">
        <v>273</v>
      </c>
    </row>
    <row r="19" customFormat="false" ht="60.75" hidden="false" customHeight="false" outlineLevel="0" collapsed="false">
      <c r="A19" s="47" t="n">
        <f aca="false">IF(B17="","",A17+1)</f>
        <v>13</v>
      </c>
      <c r="B19" s="48" t="s">
        <v>274</v>
      </c>
      <c r="C19" s="49" t="s">
        <v>244</v>
      </c>
      <c r="D19" s="49" t="s">
        <v>253</v>
      </c>
      <c r="E19" s="89" t="n">
        <v>45184</v>
      </c>
      <c r="F19" s="129" t="s">
        <v>36</v>
      </c>
      <c r="G19" s="89" t="n">
        <v>45191</v>
      </c>
      <c r="H19" s="54" t="s">
        <v>247</v>
      </c>
      <c r="I19" s="91" t="s">
        <v>275</v>
      </c>
    </row>
    <row r="20" customFormat="false" ht="16.4" hidden="false" customHeight="false" outlineLevel="0" collapsed="false">
      <c r="A20" s="47" t="n">
        <f aca="false">IF(B19="","",A19+1)</f>
        <v>14</v>
      </c>
      <c r="B20" s="48" t="s">
        <v>276</v>
      </c>
      <c r="C20" s="49" t="s">
        <v>244</v>
      </c>
      <c r="D20" s="132" t="s">
        <v>245</v>
      </c>
      <c r="E20" s="89" t="n">
        <v>45110</v>
      </c>
      <c r="F20" s="133" t="s">
        <v>36</v>
      </c>
      <c r="G20" s="89" t="n">
        <v>45141</v>
      </c>
      <c r="H20" s="54" t="s">
        <v>247</v>
      </c>
      <c r="I20" s="55" t="s">
        <v>277</v>
      </c>
    </row>
    <row r="21" customFormat="false" ht="76.1" hidden="false" customHeight="false" outlineLevel="0" collapsed="false">
      <c r="A21" s="47" t="n">
        <f aca="false">IF(B20="","",A20+1)</f>
        <v>15</v>
      </c>
      <c r="B21" s="48" t="s">
        <v>278</v>
      </c>
      <c r="C21" s="86" t="s">
        <v>258</v>
      </c>
      <c r="D21" s="49" t="s">
        <v>253</v>
      </c>
      <c r="E21" s="89" t="n">
        <v>45233</v>
      </c>
      <c r="F21" s="129" t="s">
        <v>34</v>
      </c>
      <c r="G21" s="53"/>
      <c r="H21" s="54" t="s">
        <v>264</v>
      </c>
      <c r="I21" s="77" t="s">
        <v>279</v>
      </c>
    </row>
    <row r="22" customFormat="false" ht="76.1" hidden="false" customHeight="false" outlineLevel="0" collapsed="false">
      <c r="A22" s="38" t="n">
        <v>16</v>
      </c>
      <c r="B22" s="39" t="s">
        <v>280</v>
      </c>
      <c r="C22" s="40" t="s">
        <v>252</v>
      </c>
      <c r="D22" s="40" t="s">
        <v>253</v>
      </c>
      <c r="E22" s="43" t="n">
        <v>45268</v>
      </c>
      <c r="F22" s="125" t="s">
        <v>36</v>
      </c>
      <c r="G22" s="126" t="n">
        <v>45264</v>
      </c>
      <c r="H22" s="44" t="s">
        <v>247</v>
      </c>
      <c r="I22" s="92" t="s">
        <v>281</v>
      </c>
    </row>
    <row r="23" customFormat="false" ht="45.75" hidden="false" customHeight="false" outlineLevel="0" collapsed="false">
      <c r="A23" s="47" t="n">
        <v>17</v>
      </c>
      <c r="B23" s="48" t="s">
        <v>282</v>
      </c>
      <c r="C23" s="49" t="s">
        <v>244</v>
      </c>
      <c r="D23" s="49" t="s">
        <v>253</v>
      </c>
      <c r="E23" s="43" t="n">
        <v>45267</v>
      </c>
      <c r="F23" s="125" t="s">
        <v>36</v>
      </c>
      <c r="G23" s="46"/>
      <c r="H23" s="44" t="s">
        <v>264</v>
      </c>
      <c r="I23" s="92" t="s">
        <v>283</v>
      </c>
    </row>
    <row r="24" customFormat="false" ht="45.75" hidden="false" customHeight="false" outlineLevel="0" collapsed="false">
      <c r="A24" s="38" t="n">
        <f aca="false">IF(B23="","",A23+1)</f>
        <v>18</v>
      </c>
      <c r="B24" s="39" t="s">
        <v>284</v>
      </c>
      <c r="C24" s="40" t="s">
        <v>252</v>
      </c>
      <c r="D24" s="40" t="s">
        <v>253</v>
      </c>
      <c r="E24" s="134" t="n">
        <v>45313</v>
      </c>
      <c r="F24" s="125" t="s">
        <v>36</v>
      </c>
      <c r="G24" s="46"/>
      <c r="H24" s="44" t="s">
        <v>264</v>
      </c>
      <c r="I24" s="92" t="s">
        <v>285</v>
      </c>
    </row>
    <row r="25" customFormat="false" ht="45.75" hidden="false" customHeight="false" outlineLevel="0" collapsed="false">
      <c r="A25" s="38" t="n">
        <f aca="false">IF(B24="","",A24+1)</f>
        <v>19</v>
      </c>
      <c r="B25" s="39" t="s">
        <v>286</v>
      </c>
      <c r="C25" s="40" t="s">
        <v>252</v>
      </c>
      <c r="D25" s="40" t="s">
        <v>253</v>
      </c>
      <c r="E25" s="134" t="n">
        <v>45313</v>
      </c>
      <c r="F25" s="125" t="s">
        <v>36</v>
      </c>
      <c r="G25" s="46"/>
      <c r="H25" s="44" t="s">
        <v>264</v>
      </c>
      <c r="I25" s="92" t="s">
        <v>287</v>
      </c>
    </row>
    <row r="26" customFormat="false" ht="16.4" hidden="false" customHeight="false" outlineLevel="0" collapsed="false">
      <c r="A26" s="38" t="n">
        <f aca="false">IF(B25="","",A25+1)</f>
        <v>20</v>
      </c>
      <c r="B26" s="39" t="s">
        <v>288</v>
      </c>
      <c r="C26" s="40" t="s">
        <v>252</v>
      </c>
      <c r="D26" s="40" t="s">
        <v>253</v>
      </c>
      <c r="E26" s="134" t="n">
        <v>45292</v>
      </c>
      <c r="F26" s="125" t="s">
        <v>36</v>
      </c>
      <c r="G26" s="134" t="n">
        <v>45327</v>
      </c>
      <c r="H26" s="44" t="s">
        <v>247</v>
      </c>
      <c r="I26" s="92" t="s">
        <v>289</v>
      </c>
    </row>
    <row r="27" customFormat="false" ht="30.75" hidden="false" customHeight="false" outlineLevel="0" collapsed="false">
      <c r="A27" s="38" t="n">
        <f aca="false">IF(B26="","",A26+1)</f>
        <v>21</v>
      </c>
      <c r="B27" s="39" t="s">
        <v>290</v>
      </c>
      <c r="C27" s="40" t="s">
        <v>252</v>
      </c>
      <c r="D27" s="40" t="s">
        <v>253</v>
      </c>
      <c r="E27" s="134" t="n">
        <v>45299</v>
      </c>
      <c r="F27" s="125" t="s">
        <v>36</v>
      </c>
      <c r="G27" s="46"/>
      <c r="H27" s="44" t="s">
        <v>247</v>
      </c>
      <c r="I27" s="92" t="s">
        <v>291</v>
      </c>
    </row>
    <row r="28" customFormat="false" ht="30.75" hidden="false" customHeight="false" outlineLevel="0" collapsed="false">
      <c r="A28" s="38" t="n">
        <f aca="false">IF(B27="","",A27+1)</f>
        <v>22</v>
      </c>
      <c r="B28" s="39" t="s">
        <v>228</v>
      </c>
      <c r="C28" s="40" t="s">
        <v>252</v>
      </c>
      <c r="D28" s="40" t="s">
        <v>253</v>
      </c>
      <c r="E28" s="134" t="n">
        <v>45301</v>
      </c>
      <c r="F28" s="125" t="s">
        <v>36</v>
      </c>
      <c r="G28" s="46"/>
      <c r="H28" s="44" t="s">
        <v>247</v>
      </c>
      <c r="I28" s="92" t="s">
        <v>292</v>
      </c>
    </row>
    <row r="29" customFormat="false" ht="30.75" hidden="false" customHeight="false" outlineLevel="0" collapsed="false">
      <c r="A29" s="38" t="n">
        <f aca="false">IF(B28="","",A28+1)</f>
        <v>23</v>
      </c>
      <c r="B29" s="39" t="s">
        <v>230</v>
      </c>
      <c r="C29" s="40" t="s">
        <v>252</v>
      </c>
      <c r="D29" s="40" t="s">
        <v>253</v>
      </c>
      <c r="E29" s="134" t="n">
        <v>45303</v>
      </c>
      <c r="F29" s="125" t="s">
        <v>36</v>
      </c>
      <c r="G29" s="46"/>
      <c r="H29" s="44" t="s">
        <v>247</v>
      </c>
      <c r="I29" s="92"/>
    </row>
    <row r="30" customFormat="false" ht="30.75" hidden="false" customHeight="false" outlineLevel="0" collapsed="false">
      <c r="A30" s="38" t="n">
        <f aca="false">IF(B29="","",A29+1)</f>
        <v>24</v>
      </c>
      <c r="B30" s="39" t="s">
        <v>293</v>
      </c>
      <c r="C30" s="40" t="s">
        <v>252</v>
      </c>
      <c r="D30" s="40" t="s">
        <v>253</v>
      </c>
      <c r="E30" s="134" t="n">
        <v>45343</v>
      </c>
      <c r="F30" s="125" t="s">
        <v>36</v>
      </c>
      <c r="G30" s="46"/>
      <c r="H30" s="44" t="s">
        <v>264</v>
      </c>
      <c r="I30" s="92" t="s">
        <v>294</v>
      </c>
    </row>
    <row r="31" customFormat="false" ht="14.25" hidden="false" customHeight="false" outlineLevel="0" collapsed="false">
      <c r="A31" s="38"/>
      <c r="B31" s="39"/>
      <c r="C31" s="40"/>
      <c r="D31" s="40"/>
      <c r="E31" s="134"/>
      <c r="F31" s="125"/>
      <c r="G31" s="46"/>
      <c r="H31" s="44"/>
      <c r="I31" s="92"/>
    </row>
    <row r="32" customFormat="false" ht="14.25" hidden="false" customHeight="false" outlineLevel="0" collapsed="false">
      <c r="A32" s="93" t="str">
        <f aca="false">IF(B31="","",A31+1)</f>
        <v/>
      </c>
      <c r="B32" s="94"/>
      <c r="C32" s="95"/>
      <c r="D32" s="95"/>
      <c r="E32" s="98"/>
      <c r="F32" s="98"/>
      <c r="G32" s="98"/>
      <c r="H32" s="99"/>
    </row>
    <row r="33" customFormat="false" ht="14.25" hidden="false" customHeight="false" outlineLevel="0" collapsed="false">
      <c r="A33" s="93" t="str">
        <f aca="false">IF(B32="","",A32+1)</f>
        <v/>
      </c>
      <c r="B33" s="94"/>
      <c r="C33" s="95"/>
      <c r="D33" s="95"/>
      <c r="E33" s="98"/>
      <c r="F33" s="98"/>
      <c r="G33" s="98"/>
      <c r="H33" s="99"/>
    </row>
    <row r="34" customFormat="false" ht="14.25" hidden="false" customHeight="false" outlineLevel="0" collapsed="false">
      <c r="A34" s="93" t="str">
        <f aca="false">IF(B33="","",A33+1)</f>
        <v/>
      </c>
      <c r="B34" s="94"/>
      <c r="C34" s="95"/>
      <c r="D34" s="95"/>
      <c r="E34" s="98"/>
      <c r="F34" s="98"/>
      <c r="G34" s="98"/>
      <c r="H34" s="99"/>
    </row>
    <row r="35" customFormat="false" ht="14.25" hidden="false" customHeight="false" outlineLevel="0" collapsed="false">
      <c r="A35" s="93" t="str">
        <f aca="false">IF(B34="","",A34+1)</f>
        <v/>
      </c>
      <c r="B35" s="94"/>
      <c r="C35" s="95"/>
      <c r="D35" s="95"/>
      <c r="E35" s="98"/>
      <c r="F35" s="98"/>
      <c r="G35" s="98"/>
      <c r="H35" s="99"/>
    </row>
    <row r="36" customFormat="false" ht="14.25" hidden="false" customHeight="false" outlineLevel="0" collapsed="false">
      <c r="A36" s="93" t="str">
        <f aca="false">IF(B35="","",A35+1)</f>
        <v/>
      </c>
      <c r="B36" s="94"/>
      <c r="C36" s="95"/>
      <c r="D36" s="95"/>
      <c r="E36" s="98"/>
      <c r="F36" s="98"/>
      <c r="G36" s="98"/>
      <c r="H36" s="99"/>
    </row>
    <row r="37" customFormat="false" ht="14.25" hidden="false" customHeight="false" outlineLevel="0" collapsed="false">
      <c r="A37" s="93" t="str">
        <f aca="false">IF(B36="","",A36+1)</f>
        <v/>
      </c>
      <c r="B37" s="94"/>
      <c r="C37" s="95"/>
      <c r="D37" s="95"/>
      <c r="E37" s="98"/>
      <c r="F37" s="98"/>
      <c r="G37" s="98"/>
      <c r="H37" s="99"/>
    </row>
    <row r="38" customFormat="false" ht="14.25" hidden="false" customHeight="false" outlineLevel="0" collapsed="false">
      <c r="A38" s="93" t="str">
        <f aca="false">IF(B37="","",A37+1)</f>
        <v/>
      </c>
      <c r="B38" s="94"/>
      <c r="C38" s="95"/>
      <c r="D38" s="95"/>
      <c r="E38" s="98"/>
      <c r="F38" s="98"/>
      <c r="G38" s="98"/>
      <c r="H38" s="99"/>
    </row>
    <row r="39" customFormat="false" ht="15" hidden="false" customHeight="false" outlineLevel="0" collapsed="false"/>
    <row r="40" customFormat="false" ht="15" hidden="false" customHeight="false" outlineLevel="0" collapsed="false"/>
    <row r="41" customFormat="false" ht="15" hidden="false" customHeight="false" outlineLevel="0" collapsed="false"/>
    <row r="42" customFormat="false" ht="15" hidden="false" customHeight="false" outlineLevel="0" collapsed="false"/>
    <row r="43" customFormat="false" ht="15" hidden="false" customHeight="false" outlineLevel="0" collapsed="false"/>
    <row r="44" customFormat="false" ht="15" hidden="false" customHeight="false" outlineLevel="0" collapsed="false"/>
    <row r="45" customFormat="false" ht="15" hidden="false" customHeight="false" outlineLevel="0" collapsed="false"/>
    <row r="46" customFormat="false" ht="15" hidden="false" customHeight="false" outlineLevel="0" collapsed="false"/>
  </sheetData>
  <autoFilter ref="A2:Q2"/>
  <mergeCells count="1">
    <mergeCell ref="A1:I1"/>
  </mergeCells>
  <dataValidations count="4">
    <dataValidation allowBlank="true" errorStyle="stop" operator="between" showDropDown="false" showErrorMessage="true" showInputMessage="true" sqref="C3:C1038" type="list">
      <formula1>LOV!$E$2:$E$4</formula1>
      <formula2>0</formula2>
    </dataValidation>
    <dataValidation allowBlank="true" errorStyle="stop" operator="between" showDropDown="false" showErrorMessage="true" showInputMessage="true" sqref="H2:H1038" type="list">
      <formula1>LOV!$C$2:$C$4</formula1>
      <formula2>0</formula2>
    </dataValidation>
    <dataValidation allowBlank="true" errorStyle="stop" operator="between" showDropDown="false" showErrorMessage="true" showInputMessage="true" sqref="F3:F1038" type="list">
      <formula1>LOV!$F$2:$F$3</formula1>
      <formula2>0</formula2>
    </dataValidation>
    <dataValidation allowBlank="true" errorStyle="stop" operator="between" showDropDown="false" showErrorMessage="true" showInputMessage="true" sqref="D3:D1038" type="list">
      <formula1>LOV!$G$2:$G$3</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extLst>
    <ext xmlns:x14="http://schemas.microsoft.com/office/spreadsheetml/2009/9/main" uri="{78C0D931-6437-407d-A8EE-F0AAD7539E65}">
      <x14:conditionalFormattings>
        <x14:conditionalFormatting xmlns:xm="http://schemas.microsoft.com/office/excel/2006/main">
          <x14:cfRule type="cellIs" priority="2" operator="equal" id="{4AAAADD3-9E2F-4D44-895F-34B8171B199C}">
            <xm:f>LOV!$F$2</xm:f>
            <x14:dxf>
              <fill>
                <patternFill>
                  <bgColor theme="5" tint="0.7999"/>
                </patternFill>
              </fill>
            </x14:dxf>
          </x14:cfRule>
          <xm:sqref>F2:F1048576</xm:sqref>
        </x14:conditionalFormatting>
      </x14:conditionalFormatting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2" topLeftCell="C21" activePane="bottomRight" state="frozen"/>
      <selection pane="topLeft" activeCell="A1" activeCellId="0" sqref="A1"/>
      <selection pane="topRight" activeCell="C1" activeCellId="0" sqref="C1"/>
      <selection pane="bottomLeft" activeCell="A21" activeCellId="0" sqref="A21"/>
      <selection pane="bottomRight" activeCell="G21" activeCellId="0" sqref="G21"/>
    </sheetView>
  </sheetViews>
  <sheetFormatPr defaultColWidth="9.14453125" defaultRowHeight="14.25" zeroHeight="false" outlineLevelRow="0" outlineLevelCol="0"/>
  <cols>
    <col collapsed="false" customWidth="true" hidden="false" outlineLevel="0" max="1" min="1" style="98" width="10.71"/>
    <col collapsed="false" customWidth="true" hidden="false" outlineLevel="0" max="2" min="2" style="32" width="40.14"/>
    <col collapsed="false" customWidth="true" hidden="false" outlineLevel="0" max="3" min="3" style="32" width="34.29"/>
    <col collapsed="false" customWidth="true" hidden="false" outlineLevel="0" max="4" min="4" style="31" width="12.29"/>
    <col collapsed="false" customWidth="true" hidden="false" outlineLevel="0" max="5" min="5" style="32" width="34.29"/>
    <col collapsed="false" customWidth="true" hidden="false" outlineLevel="0" max="6" min="6" style="94" width="32.86"/>
    <col collapsed="false" customWidth="true" hidden="false" outlineLevel="0" max="7" min="7" style="98" width="14.29"/>
    <col collapsed="false" customWidth="true" hidden="false" outlineLevel="0" max="9" min="8" style="98" width="16.29"/>
    <col collapsed="false" customWidth="true" hidden="false" outlineLevel="0" max="10" min="10" style="98" width="17.29"/>
    <col collapsed="false" customWidth="true" hidden="false" outlineLevel="0" max="11" min="11" style="98" width="10.14"/>
    <col collapsed="false" customWidth="true" hidden="false" outlineLevel="0" max="12" min="12" style="32" width="76.29"/>
    <col collapsed="false" customWidth="false" hidden="false" outlineLevel="0" max="16384" min="13" style="32" width="9.14"/>
  </cols>
  <sheetData>
    <row r="1" customFormat="false" ht="21" hidden="false" customHeight="true" outlineLevel="0" collapsed="false">
      <c r="A1" s="135" t="s">
        <v>295</v>
      </c>
      <c r="B1" s="135"/>
      <c r="C1" s="135"/>
      <c r="D1" s="135"/>
      <c r="E1" s="135"/>
      <c r="F1" s="135"/>
      <c r="G1" s="135"/>
      <c r="H1" s="135"/>
      <c r="I1" s="135"/>
      <c r="J1" s="135"/>
      <c r="K1" s="135"/>
      <c r="L1" s="135"/>
    </row>
    <row r="2" s="98" customFormat="true" ht="16.4" hidden="false" customHeight="false" outlineLevel="0" collapsed="false">
      <c r="A2" s="136" t="s">
        <v>40</v>
      </c>
      <c r="B2" s="136" t="s">
        <v>159</v>
      </c>
      <c r="C2" s="136" t="s">
        <v>44</v>
      </c>
      <c r="D2" s="35" t="s">
        <v>296</v>
      </c>
      <c r="E2" s="136" t="s">
        <v>297</v>
      </c>
      <c r="F2" s="137" t="s">
        <v>298</v>
      </c>
      <c r="G2" s="136" t="s">
        <v>47</v>
      </c>
      <c r="H2" s="136" t="s">
        <v>48</v>
      </c>
      <c r="I2" s="136" t="s">
        <v>299</v>
      </c>
      <c r="J2" s="136" t="s">
        <v>300</v>
      </c>
      <c r="K2" s="136" t="s">
        <v>50</v>
      </c>
      <c r="L2" s="35" t="s">
        <v>51</v>
      </c>
    </row>
    <row r="3" customFormat="false" ht="45.75" hidden="false" customHeight="false" outlineLevel="0" collapsed="false">
      <c r="A3" s="122" t="n">
        <v>1</v>
      </c>
      <c r="B3" s="57" t="s">
        <v>85</v>
      </c>
      <c r="C3" s="57" t="s">
        <v>96</v>
      </c>
      <c r="D3" s="40" t="s">
        <v>55</v>
      </c>
      <c r="E3" s="138" t="s">
        <v>301</v>
      </c>
      <c r="F3" s="138" t="s">
        <v>302</v>
      </c>
      <c r="G3" s="40" t="s">
        <v>303</v>
      </c>
      <c r="H3" s="123" t="s">
        <v>105</v>
      </c>
      <c r="I3" s="123"/>
      <c r="J3" s="123" t="s">
        <v>304</v>
      </c>
      <c r="K3" s="44" t="s">
        <v>58</v>
      </c>
      <c r="L3" s="45" t="s">
        <v>305</v>
      </c>
    </row>
    <row r="4" customFormat="false" ht="45.75" hidden="false" customHeight="false" outlineLevel="0" collapsed="false">
      <c r="A4" s="38" t="n">
        <f aca="false">IF(B3="","",A3+1)</f>
        <v>2</v>
      </c>
      <c r="B4" s="39" t="s">
        <v>306</v>
      </c>
      <c r="C4" s="39" t="s">
        <v>307</v>
      </c>
      <c r="D4" s="40" t="s">
        <v>88</v>
      </c>
      <c r="E4" s="39" t="s">
        <v>308</v>
      </c>
      <c r="F4" s="39" t="s">
        <v>309</v>
      </c>
      <c r="G4" s="41" t="s">
        <v>104</v>
      </c>
      <c r="H4" s="123" t="s">
        <v>105</v>
      </c>
      <c r="I4" s="43"/>
      <c r="J4" s="123" t="n">
        <v>45083</v>
      </c>
      <c r="K4" s="44" t="s">
        <v>58</v>
      </c>
      <c r="L4" s="130" t="s">
        <v>310</v>
      </c>
    </row>
    <row r="5" customFormat="false" ht="60.75" hidden="false" customHeight="false" outlineLevel="0" collapsed="false">
      <c r="A5" s="38" t="n">
        <f aca="false">IF(B4="","",A4+1)</f>
        <v>3</v>
      </c>
      <c r="B5" s="39" t="s">
        <v>311</v>
      </c>
      <c r="C5" s="39" t="s">
        <v>312</v>
      </c>
      <c r="D5" s="40" t="s">
        <v>88</v>
      </c>
      <c r="E5" s="39" t="s">
        <v>313</v>
      </c>
      <c r="F5" s="39" t="s">
        <v>314</v>
      </c>
      <c r="G5" s="41" t="s">
        <v>315</v>
      </c>
      <c r="H5" s="43" t="s">
        <v>316</v>
      </c>
      <c r="I5" s="43"/>
      <c r="J5" s="43"/>
      <c r="K5" s="44" t="s">
        <v>58</v>
      </c>
      <c r="L5" s="45"/>
    </row>
    <row r="6" customFormat="false" ht="135.8" hidden="false" customHeight="false" outlineLevel="0" collapsed="false">
      <c r="A6" s="38" t="n">
        <f aca="false">IF(B5="","",A5+1)</f>
        <v>4</v>
      </c>
      <c r="B6" s="39" t="s">
        <v>317</v>
      </c>
      <c r="C6" s="39" t="s">
        <v>318</v>
      </c>
      <c r="D6" s="40" t="s">
        <v>88</v>
      </c>
      <c r="E6" s="39" t="s">
        <v>319</v>
      </c>
      <c r="F6" s="39" t="s">
        <v>320</v>
      </c>
      <c r="G6" s="41" t="s">
        <v>315</v>
      </c>
      <c r="H6" s="43" t="n">
        <v>45083</v>
      </c>
      <c r="I6" s="46"/>
      <c r="J6" s="46"/>
      <c r="K6" s="44" t="s">
        <v>58</v>
      </c>
      <c r="L6" s="139" t="s">
        <v>321</v>
      </c>
    </row>
    <row r="7" customFormat="false" ht="61.15" hidden="false" customHeight="false" outlineLevel="0" collapsed="false">
      <c r="A7" s="38" t="n">
        <f aca="false">IF(B6="","",A6+1)</f>
        <v>5</v>
      </c>
      <c r="B7" s="39" t="s">
        <v>322</v>
      </c>
      <c r="C7" s="39" t="s">
        <v>323</v>
      </c>
      <c r="D7" s="40" t="s">
        <v>55</v>
      </c>
      <c r="E7" s="39" t="s">
        <v>324</v>
      </c>
      <c r="F7" s="39" t="s">
        <v>325</v>
      </c>
      <c r="G7" s="41" t="s">
        <v>104</v>
      </c>
      <c r="H7" s="43" t="n">
        <v>45083</v>
      </c>
      <c r="I7" s="43"/>
      <c r="J7" s="43" t="n">
        <v>45114</v>
      </c>
      <c r="K7" s="44" t="s">
        <v>58</v>
      </c>
      <c r="L7" s="83" t="s">
        <v>326</v>
      </c>
    </row>
    <row r="8" customFormat="false" ht="61.15" hidden="false" customHeight="false" outlineLevel="0" collapsed="false">
      <c r="A8" s="38" t="n">
        <f aca="false">IF(B7="","",A7+1)</f>
        <v>6</v>
      </c>
      <c r="B8" s="39" t="s">
        <v>327</v>
      </c>
      <c r="C8" s="39" t="s">
        <v>328</v>
      </c>
      <c r="D8" s="40" t="s">
        <v>55</v>
      </c>
      <c r="E8" s="39" t="s">
        <v>329</v>
      </c>
      <c r="F8" s="39" t="s">
        <v>330</v>
      </c>
      <c r="G8" s="41" t="s">
        <v>104</v>
      </c>
      <c r="H8" s="43" t="n">
        <v>45083</v>
      </c>
      <c r="I8" s="46"/>
      <c r="J8" s="46"/>
      <c r="K8" s="44" t="s">
        <v>58</v>
      </c>
      <c r="L8" s="130" t="s">
        <v>331</v>
      </c>
    </row>
    <row r="9" customFormat="false" ht="91" hidden="false" customHeight="false" outlineLevel="0" collapsed="false">
      <c r="A9" s="38" t="n">
        <f aca="false">IF(B8="","",A8+1)</f>
        <v>7</v>
      </c>
      <c r="B9" s="39" t="s">
        <v>332</v>
      </c>
      <c r="C9" s="39" t="s">
        <v>333</v>
      </c>
      <c r="D9" s="40" t="s">
        <v>55</v>
      </c>
      <c r="E9" s="39" t="s">
        <v>334</v>
      </c>
      <c r="F9" s="39" t="s">
        <v>335</v>
      </c>
      <c r="G9" s="41" t="s">
        <v>336</v>
      </c>
      <c r="H9" s="46" t="s">
        <v>337</v>
      </c>
      <c r="I9" s="46"/>
      <c r="J9" s="46"/>
      <c r="K9" s="44" t="s">
        <v>58</v>
      </c>
      <c r="L9" s="140" t="s">
        <v>338</v>
      </c>
    </row>
    <row r="10" customFormat="false" ht="60.75" hidden="false" customHeight="false" outlineLevel="0" collapsed="false">
      <c r="A10" s="38" t="n">
        <v>8</v>
      </c>
      <c r="B10" s="39" t="s">
        <v>339</v>
      </c>
      <c r="C10" s="140" t="s">
        <v>340</v>
      </c>
      <c r="D10" s="40" t="s">
        <v>55</v>
      </c>
      <c r="E10" s="39" t="s">
        <v>341</v>
      </c>
      <c r="F10" s="39" t="s">
        <v>342</v>
      </c>
      <c r="G10" s="41" t="s">
        <v>336</v>
      </c>
      <c r="H10" s="43" t="n">
        <v>45134</v>
      </c>
      <c r="I10" s="46"/>
      <c r="J10" s="46"/>
      <c r="K10" s="44" t="s">
        <v>58</v>
      </c>
      <c r="L10" s="140" t="s">
        <v>343</v>
      </c>
    </row>
    <row r="11" customFormat="false" ht="105.95" hidden="false" customHeight="false" outlineLevel="0" collapsed="false">
      <c r="A11" s="47" t="n">
        <f aca="false">IF(B10="","",A10+1)</f>
        <v>9</v>
      </c>
      <c r="B11" s="48" t="s">
        <v>344</v>
      </c>
      <c r="C11" s="85" t="s">
        <v>345</v>
      </c>
      <c r="D11" s="49" t="s">
        <v>55</v>
      </c>
      <c r="E11" s="48" t="s">
        <v>346</v>
      </c>
      <c r="F11" s="48" t="s">
        <v>347</v>
      </c>
      <c r="G11" s="50" t="s">
        <v>104</v>
      </c>
      <c r="H11" s="52" t="n">
        <v>45160</v>
      </c>
      <c r="I11" s="89" t="n">
        <v>45290</v>
      </c>
      <c r="J11" s="53"/>
      <c r="K11" s="54" t="s">
        <v>58</v>
      </c>
      <c r="L11" s="141" t="s">
        <v>348</v>
      </c>
    </row>
    <row r="12" customFormat="false" ht="165.65" hidden="false" customHeight="false" outlineLevel="0" collapsed="false">
      <c r="A12" s="47" t="n">
        <f aca="false">IF(B11="","",A11+1)</f>
        <v>10</v>
      </c>
      <c r="B12" s="48" t="s">
        <v>349</v>
      </c>
      <c r="C12" s="85" t="s">
        <v>350</v>
      </c>
      <c r="D12" s="49" t="s">
        <v>55</v>
      </c>
      <c r="E12" s="142" t="s">
        <v>351</v>
      </c>
      <c r="F12" s="39" t="s">
        <v>347</v>
      </c>
      <c r="G12" s="143" t="s">
        <v>104</v>
      </c>
      <c r="H12" s="52" t="n">
        <v>45160</v>
      </c>
      <c r="I12" s="89" t="n">
        <v>45290</v>
      </c>
      <c r="J12" s="53"/>
      <c r="K12" s="54" t="s">
        <v>58</v>
      </c>
      <c r="L12" s="141" t="s">
        <v>352</v>
      </c>
    </row>
    <row r="13" customFormat="false" ht="45.75" hidden="false" customHeight="false" outlineLevel="0" collapsed="false">
      <c r="A13" s="38" t="n">
        <v>11</v>
      </c>
      <c r="B13" s="144" t="s">
        <v>353</v>
      </c>
      <c r="C13" s="39" t="s">
        <v>354</v>
      </c>
      <c r="D13" s="40" t="s">
        <v>55</v>
      </c>
      <c r="E13" s="145" t="s">
        <v>355</v>
      </c>
      <c r="F13" s="144" t="s">
        <v>356</v>
      </c>
      <c r="G13" s="146" t="s">
        <v>357</v>
      </c>
      <c r="H13" s="126" t="n">
        <v>45233</v>
      </c>
      <c r="I13" s="126" t="n">
        <v>44901</v>
      </c>
      <c r="J13" s="46"/>
      <c r="K13" s="44" t="s">
        <v>58</v>
      </c>
      <c r="L13" s="92" t="s">
        <v>358</v>
      </c>
    </row>
    <row r="14" customFormat="false" ht="60.75" hidden="false" customHeight="false" outlineLevel="0" collapsed="false">
      <c r="A14" s="38" t="n">
        <f aca="false">IF(B13="","",A13+1)</f>
        <v>12</v>
      </c>
      <c r="B14" s="144" t="s">
        <v>359</v>
      </c>
      <c r="C14" s="39" t="s">
        <v>354</v>
      </c>
      <c r="D14" s="40" t="s">
        <v>55</v>
      </c>
      <c r="E14" s="145" t="s">
        <v>355</v>
      </c>
      <c r="F14" s="147" t="s">
        <v>360</v>
      </c>
      <c r="G14" s="146" t="s">
        <v>357</v>
      </c>
      <c r="H14" s="126" t="n">
        <v>45233</v>
      </c>
      <c r="I14" s="126" t="n">
        <v>44901</v>
      </c>
      <c r="J14" s="46"/>
      <c r="K14" s="44" t="s">
        <v>58</v>
      </c>
      <c r="L14" s="92" t="s">
        <v>358</v>
      </c>
    </row>
    <row r="15" customFormat="false" ht="60.75" hidden="false" customHeight="false" outlineLevel="0" collapsed="false">
      <c r="A15" s="38" t="n">
        <f aca="false">IF(B14="","",A14+1)</f>
        <v>13</v>
      </c>
      <c r="B15" s="144" t="s">
        <v>361</v>
      </c>
      <c r="C15" s="39" t="s">
        <v>354</v>
      </c>
      <c r="D15" s="40" t="s">
        <v>55</v>
      </c>
      <c r="E15" s="145" t="s">
        <v>355</v>
      </c>
      <c r="F15" s="144" t="s">
        <v>362</v>
      </c>
      <c r="G15" s="146" t="s">
        <v>363</v>
      </c>
      <c r="H15" s="126" t="n">
        <v>45233</v>
      </c>
      <c r="I15" s="126" t="n">
        <v>44907</v>
      </c>
      <c r="J15" s="46"/>
      <c r="K15" s="44" t="s">
        <v>58</v>
      </c>
      <c r="L15" s="92" t="s">
        <v>364</v>
      </c>
    </row>
    <row r="16" customFormat="false" ht="45.75" hidden="false" customHeight="false" outlineLevel="0" collapsed="false">
      <c r="A16" s="38" t="n">
        <f aca="false">IF(B15="","",A15+1)</f>
        <v>14</v>
      </c>
      <c r="B16" s="148" t="s">
        <v>365</v>
      </c>
      <c r="C16" s="39" t="s">
        <v>354</v>
      </c>
      <c r="D16" s="40" t="s">
        <v>55</v>
      </c>
      <c r="E16" s="145" t="s">
        <v>355</v>
      </c>
      <c r="F16" s="144" t="s">
        <v>366</v>
      </c>
      <c r="G16" s="146" t="s">
        <v>357</v>
      </c>
      <c r="H16" s="126" t="n">
        <v>45233</v>
      </c>
      <c r="I16" s="126"/>
      <c r="J16" s="46"/>
      <c r="K16" s="44" t="s">
        <v>58</v>
      </c>
      <c r="L16" s="45" t="s">
        <v>367</v>
      </c>
    </row>
    <row r="17" customFormat="false" ht="45.75" hidden="false" customHeight="false" outlineLevel="0" collapsed="false">
      <c r="A17" s="38" t="n">
        <f aca="false">IF(B16="","",A16+1)</f>
        <v>15</v>
      </c>
      <c r="B17" s="148" t="s">
        <v>368</v>
      </c>
      <c r="C17" s="39" t="s">
        <v>354</v>
      </c>
      <c r="D17" s="40" t="s">
        <v>55</v>
      </c>
      <c r="E17" s="145" t="s">
        <v>355</v>
      </c>
      <c r="F17" s="144" t="s">
        <v>369</v>
      </c>
      <c r="G17" s="146" t="s">
        <v>370</v>
      </c>
      <c r="H17" s="89" t="n">
        <v>45233</v>
      </c>
      <c r="I17" s="126" t="n">
        <v>44901</v>
      </c>
      <c r="J17" s="46"/>
      <c r="K17" s="44" t="s">
        <v>58</v>
      </c>
      <c r="L17" s="92" t="s">
        <v>371</v>
      </c>
    </row>
    <row r="18" customFormat="false" ht="76.1" hidden="false" customHeight="false" outlineLevel="0" collapsed="false">
      <c r="A18" s="38" t="n">
        <v>16</v>
      </c>
      <c r="B18" s="39" t="s">
        <v>372</v>
      </c>
      <c r="C18" s="39" t="s">
        <v>354</v>
      </c>
      <c r="D18" s="40" t="s">
        <v>55</v>
      </c>
      <c r="E18" s="145" t="s">
        <v>373</v>
      </c>
      <c r="F18" s="39" t="s">
        <v>374</v>
      </c>
      <c r="G18" s="146" t="s">
        <v>375</v>
      </c>
      <c r="H18" s="126" t="n">
        <v>45231</v>
      </c>
      <c r="I18" s="126" t="n">
        <v>44895</v>
      </c>
      <c r="J18" s="46"/>
      <c r="K18" s="44" t="s">
        <v>58</v>
      </c>
      <c r="L18" s="92" t="s">
        <v>376</v>
      </c>
    </row>
    <row r="19" customFormat="false" ht="76.1" hidden="false" customHeight="false" outlineLevel="0" collapsed="false">
      <c r="A19" s="47" t="n">
        <f aca="false">IF(B18="","",A18+1)</f>
        <v>17</v>
      </c>
      <c r="B19" s="48" t="s">
        <v>377</v>
      </c>
      <c r="C19" s="48" t="s">
        <v>378</v>
      </c>
      <c r="D19" s="49" t="s">
        <v>55</v>
      </c>
      <c r="E19" s="48" t="s">
        <v>379</v>
      </c>
      <c r="F19" s="149" t="s">
        <v>380</v>
      </c>
      <c r="G19" s="50" t="s">
        <v>381</v>
      </c>
      <c r="H19" s="89" t="n">
        <v>45233</v>
      </c>
      <c r="I19" s="126" t="n">
        <v>44907</v>
      </c>
      <c r="J19" s="53"/>
      <c r="K19" s="44" t="s">
        <v>58</v>
      </c>
      <c r="L19" s="77" t="s">
        <v>382</v>
      </c>
    </row>
    <row r="20" customFormat="false" ht="45.75" hidden="false" customHeight="false" outlineLevel="0" collapsed="false">
      <c r="A20" s="47" t="n">
        <f aca="false">IF(B19="","",A19+1)</f>
        <v>18</v>
      </c>
      <c r="B20" s="48" t="s">
        <v>383</v>
      </c>
      <c r="C20" s="48" t="s">
        <v>384</v>
      </c>
      <c r="D20" s="49" t="s">
        <v>55</v>
      </c>
      <c r="E20" s="48" t="s">
        <v>385</v>
      </c>
      <c r="F20" s="48" t="s">
        <v>386</v>
      </c>
      <c r="G20" s="50" t="s">
        <v>387</v>
      </c>
      <c r="H20" s="89" t="n">
        <v>45233</v>
      </c>
      <c r="I20" s="126" t="n">
        <v>44925</v>
      </c>
      <c r="J20" s="53"/>
      <c r="K20" s="54" t="s">
        <v>156</v>
      </c>
      <c r="L20" s="92" t="s">
        <v>388</v>
      </c>
    </row>
    <row r="21" customFormat="false" ht="91" hidden="false" customHeight="false" outlineLevel="0" collapsed="false">
      <c r="A21" s="47" t="n">
        <f aca="false">IF(B20="","",A20+1)</f>
        <v>19</v>
      </c>
      <c r="B21" s="147" t="s">
        <v>389</v>
      </c>
      <c r="C21" s="48" t="s">
        <v>390</v>
      </c>
      <c r="D21" s="49" t="s">
        <v>55</v>
      </c>
      <c r="E21" s="48" t="s">
        <v>391</v>
      </c>
      <c r="F21" s="147" t="s">
        <v>392</v>
      </c>
      <c r="G21" s="50" t="s">
        <v>381</v>
      </c>
      <c r="H21" s="89" t="n">
        <v>45233</v>
      </c>
      <c r="I21" s="89" t="n">
        <v>44907</v>
      </c>
      <c r="J21" s="150"/>
      <c r="K21" s="54" t="s">
        <v>58</v>
      </c>
      <c r="L21" s="151" t="s">
        <v>393</v>
      </c>
    </row>
    <row r="22" customFormat="false" ht="60.75" hidden="false" customHeight="false" outlineLevel="0" collapsed="false">
      <c r="A22" s="38" t="n">
        <f aca="false">IF(B21="","",A21+1)</f>
        <v>20</v>
      </c>
      <c r="B22" s="39" t="s">
        <v>394</v>
      </c>
      <c r="C22" s="39" t="s">
        <v>395</v>
      </c>
      <c r="D22" s="49" t="s">
        <v>55</v>
      </c>
      <c r="E22" s="48" t="s">
        <v>391</v>
      </c>
      <c r="F22" s="39" t="s">
        <v>396</v>
      </c>
      <c r="G22" s="41" t="s">
        <v>397</v>
      </c>
      <c r="H22" s="126" t="n">
        <v>45240</v>
      </c>
      <c r="I22" s="43" t="n">
        <v>45272</v>
      </c>
      <c r="J22" s="46"/>
      <c r="K22" s="54" t="s">
        <v>58</v>
      </c>
      <c r="L22" s="92" t="s">
        <v>398</v>
      </c>
    </row>
    <row r="23" customFormat="false" ht="45.75" hidden="false" customHeight="false" outlineLevel="0" collapsed="false">
      <c r="A23" s="38" t="n">
        <f aca="false">IF(B22="","",A22+1)</f>
        <v>21</v>
      </c>
      <c r="B23" s="39" t="s">
        <v>399</v>
      </c>
      <c r="C23" s="145" t="s">
        <v>400</v>
      </c>
      <c r="D23" s="152" t="s">
        <v>55</v>
      </c>
      <c r="E23" s="39" t="s">
        <v>391</v>
      </c>
      <c r="F23" s="82" t="s">
        <v>401</v>
      </c>
      <c r="G23" s="41" t="s">
        <v>357</v>
      </c>
      <c r="H23" s="126" t="n">
        <v>45240</v>
      </c>
      <c r="I23" s="43" t="n">
        <v>45272</v>
      </c>
      <c r="J23" s="153"/>
      <c r="K23" s="44" t="s">
        <v>58</v>
      </c>
      <c r="L23" s="154" t="s">
        <v>402</v>
      </c>
    </row>
    <row r="24" customFormat="false" ht="60.75" hidden="false" customHeight="false" outlineLevel="0" collapsed="false">
      <c r="A24" s="38" t="n">
        <f aca="false">IF(B23="","",A23+1)</f>
        <v>22</v>
      </c>
      <c r="B24" s="39" t="s">
        <v>403</v>
      </c>
      <c r="C24" s="145" t="s">
        <v>404</v>
      </c>
      <c r="D24" s="152" t="s">
        <v>55</v>
      </c>
      <c r="E24" s="39" t="s">
        <v>405</v>
      </c>
      <c r="F24" s="82"/>
      <c r="G24" s="41" t="s">
        <v>104</v>
      </c>
      <c r="H24" s="126" t="n">
        <v>45308</v>
      </c>
      <c r="I24" s="126" t="n">
        <v>45322</v>
      </c>
      <c r="J24" s="153"/>
      <c r="K24" s="44" t="s">
        <v>58</v>
      </c>
      <c r="L24" s="154" t="s">
        <v>406</v>
      </c>
    </row>
    <row r="25" customFormat="false" ht="14.25" hidden="false" customHeight="false" outlineLevel="0" collapsed="false">
      <c r="A25" s="93" t="n">
        <f aca="false">IF(B24="","",A24+1)</f>
        <v>23</v>
      </c>
      <c r="B25" s="94"/>
      <c r="C25" s="94"/>
      <c r="D25" s="95"/>
      <c r="E25" s="94"/>
      <c r="G25" s="96"/>
      <c r="K25" s="99"/>
    </row>
    <row r="26" customFormat="false" ht="14.25" hidden="false" customHeight="false" outlineLevel="0" collapsed="false">
      <c r="A26" s="93" t="str">
        <f aca="false">IF(B25="","",A25+1)</f>
        <v/>
      </c>
      <c r="B26" s="94"/>
      <c r="C26" s="94"/>
      <c r="D26" s="95"/>
      <c r="E26" s="94"/>
      <c r="G26" s="96"/>
      <c r="K26" s="99"/>
    </row>
    <row r="27" customFormat="false" ht="14.25" hidden="false" customHeight="false" outlineLevel="0" collapsed="false">
      <c r="A27" s="93" t="str">
        <f aca="false">IF(B26="","",A26+1)</f>
        <v/>
      </c>
      <c r="B27" s="94"/>
      <c r="C27" s="94"/>
      <c r="D27" s="95"/>
      <c r="E27" s="94"/>
      <c r="G27" s="96"/>
      <c r="K27" s="99"/>
    </row>
    <row r="28" customFormat="false" ht="14.25" hidden="false" customHeight="false" outlineLevel="0" collapsed="false">
      <c r="A28" s="93" t="str">
        <f aca="false">IF(B27="","",A27+1)</f>
        <v/>
      </c>
      <c r="B28" s="94"/>
      <c r="C28" s="94"/>
      <c r="D28" s="95"/>
      <c r="E28" s="94"/>
      <c r="G28" s="96"/>
      <c r="K28" s="99"/>
    </row>
    <row r="29" customFormat="false" ht="14.25" hidden="false" customHeight="false" outlineLevel="0" collapsed="false">
      <c r="A29" s="93" t="str">
        <f aca="false">IF(B28="","",A28+1)</f>
        <v/>
      </c>
      <c r="B29" s="94"/>
      <c r="C29" s="94"/>
      <c r="D29" s="95"/>
      <c r="E29" s="94"/>
      <c r="G29" s="96"/>
      <c r="K29" s="99"/>
    </row>
    <row r="30" customFormat="false" ht="14.25" hidden="false" customHeight="false" outlineLevel="0" collapsed="false">
      <c r="A30" s="93" t="str">
        <f aca="false">IF(B29="","",A29+1)</f>
        <v/>
      </c>
      <c r="B30" s="94"/>
      <c r="C30" s="94"/>
      <c r="D30" s="95"/>
      <c r="E30" s="94"/>
      <c r="G30" s="96"/>
      <c r="K30" s="99"/>
    </row>
    <row r="31" customFormat="false" ht="14.25" hidden="false" customHeight="false" outlineLevel="0" collapsed="false">
      <c r="A31" s="93" t="str">
        <f aca="false">IF(B30="","",A30+1)</f>
        <v/>
      </c>
      <c r="B31" s="94"/>
      <c r="C31" s="94"/>
      <c r="D31" s="95"/>
      <c r="E31" s="94"/>
      <c r="G31" s="96"/>
      <c r="K31" s="99"/>
    </row>
    <row r="32" customFormat="false" ht="14.25" hidden="false" customHeight="false" outlineLevel="0" collapsed="false">
      <c r="A32" s="93" t="str">
        <f aca="false">IF(B31="","",A31+1)</f>
        <v/>
      </c>
      <c r="B32" s="94"/>
      <c r="C32" s="94"/>
      <c r="D32" s="95"/>
      <c r="E32" s="94"/>
      <c r="G32" s="96"/>
      <c r="K32" s="99"/>
    </row>
    <row r="33" customFormat="false" ht="14.25" hidden="false" customHeight="false" outlineLevel="0" collapsed="false">
      <c r="A33" s="93" t="str">
        <f aca="false">IF(B32="","",A32+1)</f>
        <v/>
      </c>
      <c r="B33" s="94"/>
      <c r="C33" s="94"/>
      <c r="D33" s="95"/>
      <c r="E33" s="94"/>
      <c r="G33" s="96"/>
      <c r="K33" s="99"/>
    </row>
    <row r="34" customFormat="false" ht="14.25" hidden="false" customHeight="false" outlineLevel="0" collapsed="false">
      <c r="A34" s="93" t="str">
        <f aca="false">IF(B33="","",A33+1)</f>
        <v/>
      </c>
      <c r="B34" s="94"/>
      <c r="C34" s="94"/>
      <c r="D34" s="95"/>
      <c r="E34" s="94"/>
      <c r="G34" s="96"/>
      <c r="K34" s="99"/>
    </row>
    <row r="35" customFormat="false" ht="14.25" hidden="false" customHeight="false" outlineLevel="0" collapsed="false">
      <c r="A35" s="93" t="str">
        <f aca="false">IF(B34="","",A34+1)</f>
        <v/>
      </c>
      <c r="B35" s="94"/>
      <c r="C35" s="94"/>
      <c r="D35" s="95"/>
      <c r="E35" s="94"/>
      <c r="G35" s="96"/>
      <c r="K35" s="99"/>
    </row>
    <row r="36" customFormat="false" ht="14.25" hidden="false" customHeight="false" outlineLevel="0" collapsed="false">
      <c r="A36" s="93" t="str">
        <f aca="false">IF(B35="","",A35+1)</f>
        <v/>
      </c>
      <c r="B36" s="94"/>
      <c r="C36" s="94"/>
      <c r="D36" s="95"/>
      <c r="E36" s="94"/>
      <c r="G36" s="96"/>
      <c r="K36" s="99"/>
    </row>
    <row r="37" customFormat="false" ht="14.25" hidden="false" customHeight="false" outlineLevel="0" collapsed="false">
      <c r="A37" s="93" t="str">
        <f aca="false">IF(B36="","",A36+1)</f>
        <v/>
      </c>
      <c r="B37" s="94"/>
      <c r="C37" s="94"/>
      <c r="D37" s="95"/>
      <c r="E37" s="94"/>
      <c r="G37" s="96"/>
      <c r="K37" s="99"/>
    </row>
    <row r="38" customFormat="false" ht="14.25" hidden="false" customHeight="false" outlineLevel="0" collapsed="false">
      <c r="A38" s="93" t="str">
        <f aca="false">IF(B37="","",A37+1)</f>
        <v/>
      </c>
      <c r="B38" s="94"/>
      <c r="C38" s="94"/>
      <c r="D38" s="95"/>
      <c r="E38" s="94"/>
      <c r="G38" s="96"/>
      <c r="K38" s="99"/>
    </row>
    <row r="39" customFormat="false" ht="14.25" hidden="false" customHeight="false" outlineLevel="0" collapsed="false">
      <c r="A39" s="93" t="str">
        <f aca="false">IF(B38="","",A38+1)</f>
        <v/>
      </c>
      <c r="B39" s="94"/>
      <c r="C39" s="94"/>
      <c r="D39" s="95"/>
      <c r="E39" s="94"/>
      <c r="G39" s="96"/>
      <c r="K39" s="99"/>
    </row>
    <row r="40" customFormat="false" ht="14.25" hidden="false" customHeight="false" outlineLevel="0" collapsed="false">
      <c r="A40" s="93" t="str">
        <f aca="false">IF(B39="","",A39+1)</f>
        <v/>
      </c>
      <c r="B40" s="94"/>
      <c r="C40" s="94"/>
      <c r="E40" s="94"/>
      <c r="G40" s="96"/>
    </row>
    <row r="41" customFormat="false" ht="14.25" hidden="false" customHeight="false" outlineLevel="0" collapsed="false">
      <c r="B41" s="115"/>
      <c r="C41" s="115"/>
      <c r="E41" s="115"/>
    </row>
    <row r="42" customFormat="false" ht="15" hidden="false" customHeight="false" outlineLevel="0" collapsed="false"/>
  </sheetData>
  <mergeCells count="1">
    <mergeCell ref="A1:L1"/>
  </mergeCells>
  <dataValidations count="2">
    <dataValidation allowBlank="true" errorStyle="stop" operator="between" showDropDown="false" showErrorMessage="true" showInputMessage="true" sqref="K3:K1040" type="list">
      <formula1>LOV!$B$2:$B$3</formula1>
      <formula2>0</formula2>
    </dataValidation>
    <dataValidation allowBlank="true" errorStyle="stop" operator="between" showDropDown="false" showErrorMessage="true" showInputMessage="true" sqref="D3:D1040" type="list">
      <formula1>LOV!$D$2:$D$6</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2" topLeftCell="C3" activePane="bottomRight" state="frozen"/>
      <selection pane="topLeft" activeCell="A1" activeCellId="0" sqref="A1"/>
      <selection pane="topRight" activeCell="C1" activeCellId="0" sqref="C1"/>
      <selection pane="bottomLeft" activeCell="A3" activeCellId="0" sqref="A3"/>
      <selection pane="bottomRight" activeCell="D10" activeCellId="0" sqref="D10"/>
    </sheetView>
  </sheetViews>
  <sheetFormatPr defaultColWidth="9.14453125" defaultRowHeight="14.25" zeroHeight="false" outlineLevelRow="0" outlineLevelCol="0"/>
  <cols>
    <col collapsed="false" customWidth="true" hidden="false" outlineLevel="0" max="1" min="1" style="31" width="14"/>
    <col collapsed="false" customWidth="true" hidden="false" outlineLevel="0" max="3" min="2" style="32" width="58.29"/>
    <col collapsed="false" customWidth="true" hidden="false" outlineLevel="0" max="4" min="4" style="31" width="31.86"/>
    <col collapsed="false" customWidth="true" hidden="false" outlineLevel="0" max="5" min="5" style="31" width="20.57"/>
    <col collapsed="false" customWidth="true" hidden="false" outlineLevel="0" max="6" min="6" style="32" width="25.29"/>
    <col collapsed="false" customWidth="false" hidden="false" outlineLevel="0" max="16384" min="7" style="32" width="9.14"/>
  </cols>
  <sheetData>
    <row r="1" customFormat="false" ht="19.7" hidden="false" customHeight="false" outlineLevel="0" collapsed="false">
      <c r="A1" s="34" t="s">
        <v>407</v>
      </c>
      <c r="B1" s="34"/>
      <c r="C1" s="34"/>
      <c r="D1" s="34"/>
      <c r="E1" s="34"/>
      <c r="F1" s="34"/>
    </row>
    <row r="2" customFormat="false" ht="16.4" hidden="false" customHeight="false" outlineLevel="0" collapsed="false">
      <c r="A2" s="136" t="s">
        <v>40</v>
      </c>
      <c r="B2" s="136" t="s">
        <v>159</v>
      </c>
      <c r="C2" s="136" t="s">
        <v>408</v>
      </c>
      <c r="D2" s="136" t="s">
        <v>409</v>
      </c>
      <c r="E2" s="136" t="s">
        <v>410</v>
      </c>
      <c r="F2" s="35" t="s">
        <v>51</v>
      </c>
    </row>
    <row r="3" customFormat="false" ht="30.75" hidden="false" customHeight="false" outlineLevel="0" collapsed="false">
      <c r="A3" s="38" t="n">
        <v>1</v>
      </c>
      <c r="B3" s="39" t="s">
        <v>411</v>
      </c>
      <c r="C3" s="39" t="s">
        <v>412</v>
      </c>
      <c r="D3" s="41" t="s">
        <v>178</v>
      </c>
      <c r="E3" s="81" t="n">
        <v>45147</v>
      </c>
      <c r="F3" s="45"/>
    </row>
    <row r="4" customFormat="false" ht="45.75" hidden="false" customHeight="false" outlineLevel="0" collapsed="false">
      <c r="A4" s="38" t="n">
        <f aca="false">IF(B3="","",A3+1)</f>
        <v>2</v>
      </c>
      <c r="B4" s="39" t="s">
        <v>413</v>
      </c>
      <c r="C4" s="39" t="s">
        <v>414</v>
      </c>
      <c r="D4" s="41" t="s">
        <v>178</v>
      </c>
      <c r="E4" s="81" t="n">
        <v>45154</v>
      </c>
      <c r="F4" s="92" t="s">
        <v>415</v>
      </c>
    </row>
    <row r="5" customFormat="false" ht="45.75" hidden="false" customHeight="false" outlineLevel="0" collapsed="false">
      <c r="A5" s="38" t="n">
        <f aca="false">IF(B4="","",A4+1)</f>
        <v>3</v>
      </c>
      <c r="B5" s="39" t="s">
        <v>416</v>
      </c>
      <c r="C5" s="39" t="s">
        <v>417</v>
      </c>
      <c r="D5" s="41" t="s">
        <v>178</v>
      </c>
      <c r="E5" s="81" t="n">
        <v>45173</v>
      </c>
      <c r="F5" s="45"/>
    </row>
    <row r="6" customFormat="false" ht="30.75" hidden="false" customHeight="false" outlineLevel="0" collapsed="false">
      <c r="A6" s="38" t="n">
        <v>4</v>
      </c>
      <c r="B6" s="39" t="s">
        <v>418</v>
      </c>
      <c r="C6" s="39" t="s">
        <v>419</v>
      </c>
      <c r="D6" s="41" t="s">
        <v>178</v>
      </c>
      <c r="E6" s="81" t="n">
        <v>45184</v>
      </c>
      <c r="F6" s="45"/>
    </row>
    <row r="7" customFormat="false" ht="30.75" hidden="false" customHeight="false" outlineLevel="0" collapsed="false">
      <c r="A7" s="38" t="n">
        <f aca="false">IF(B6="","",A6+1)</f>
        <v>5</v>
      </c>
      <c r="B7" s="39" t="s">
        <v>420</v>
      </c>
      <c r="C7" s="39" t="s">
        <v>421</v>
      </c>
      <c r="D7" s="41" t="s">
        <v>178</v>
      </c>
      <c r="E7" s="81" t="n">
        <v>45184</v>
      </c>
      <c r="F7" s="45"/>
    </row>
    <row r="8" customFormat="false" ht="30.75" hidden="false" customHeight="false" outlineLevel="0" collapsed="false">
      <c r="A8" s="38" t="n">
        <v>6</v>
      </c>
      <c r="B8" s="39" t="s">
        <v>422</v>
      </c>
      <c r="C8" s="39" t="s">
        <v>423</v>
      </c>
      <c r="D8" s="41" t="s">
        <v>171</v>
      </c>
      <c r="E8" s="81" t="n">
        <v>44957</v>
      </c>
      <c r="F8" s="45"/>
    </row>
    <row r="9" customFormat="false" ht="45.75" hidden="false" customHeight="false" outlineLevel="0" collapsed="false">
      <c r="A9" s="38" t="n">
        <v>7</v>
      </c>
      <c r="B9" s="39" t="s">
        <v>424</v>
      </c>
      <c r="C9" s="39" t="s">
        <v>425</v>
      </c>
      <c r="D9" s="41" t="s">
        <v>171</v>
      </c>
      <c r="E9" s="81" t="n">
        <v>44957</v>
      </c>
      <c r="F9" s="45"/>
    </row>
    <row r="10" customFormat="false" ht="14.25" hidden="false" customHeight="false" outlineLevel="0" collapsed="false">
      <c r="A10" s="38" t="n">
        <f aca="false">IF(B9="","",A9+1)</f>
        <v>8</v>
      </c>
      <c r="B10" s="39"/>
      <c r="C10" s="39"/>
      <c r="D10" s="41"/>
      <c r="E10" s="46"/>
      <c r="F10" s="45"/>
    </row>
    <row r="11" customFormat="false" ht="14.25" hidden="false" customHeight="false" outlineLevel="0" collapsed="false">
      <c r="A11" s="38" t="str">
        <f aca="false">IF(B10="","",A10+1)</f>
        <v/>
      </c>
      <c r="B11" s="39"/>
      <c r="C11" s="39"/>
      <c r="D11" s="41"/>
      <c r="E11" s="46"/>
      <c r="F11" s="45"/>
    </row>
    <row r="12" customFormat="false" ht="14.25" hidden="false" customHeight="false" outlineLevel="0" collapsed="false">
      <c r="A12" s="38" t="str">
        <f aca="false">IF(B11="","",A11+1)</f>
        <v/>
      </c>
      <c r="B12" s="39"/>
      <c r="C12" s="39"/>
      <c r="D12" s="41"/>
      <c r="E12" s="46"/>
      <c r="F12" s="45"/>
    </row>
    <row r="13" customFormat="false" ht="14.25" hidden="false" customHeight="false" outlineLevel="0" collapsed="false">
      <c r="A13" s="38" t="str">
        <f aca="false">IF(B12="","",A12+1)</f>
        <v/>
      </c>
      <c r="B13" s="39"/>
      <c r="C13" s="39"/>
      <c r="D13" s="41"/>
      <c r="E13" s="46"/>
      <c r="F13" s="45"/>
    </row>
    <row r="14" customFormat="false" ht="14.25" hidden="false" customHeight="false" outlineLevel="0" collapsed="false">
      <c r="A14" s="38" t="str">
        <f aca="false">IF(B13="","",A13+1)</f>
        <v/>
      </c>
      <c r="B14" s="39"/>
      <c r="C14" s="39"/>
      <c r="D14" s="41"/>
      <c r="E14" s="46"/>
      <c r="F14" s="45"/>
    </row>
    <row r="15" customFormat="false" ht="14.25" hidden="false" customHeight="false" outlineLevel="0" collapsed="false">
      <c r="A15" s="93" t="str">
        <f aca="false">IF(B14="","",A14+1)</f>
        <v/>
      </c>
      <c r="B15" s="94"/>
      <c r="C15" s="94"/>
      <c r="D15" s="96"/>
      <c r="E15" s="98"/>
    </row>
    <row r="16" customFormat="false" ht="14.25" hidden="false" customHeight="false" outlineLevel="0" collapsed="false">
      <c r="A16" s="93" t="str">
        <f aca="false">IF(B15="","",A15+1)</f>
        <v/>
      </c>
      <c r="B16" s="94"/>
      <c r="C16" s="94"/>
      <c r="D16" s="96"/>
      <c r="E16" s="98"/>
    </row>
    <row r="17" customFormat="false" ht="14.25" hidden="false" customHeight="false" outlineLevel="0" collapsed="false">
      <c r="A17" s="93" t="str">
        <f aca="false">IF(B16="","",A16+1)</f>
        <v/>
      </c>
      <c r="B17" s="94"/>
      <c r="C17" s="94"/>
      <c r="D17" s="96"/>
      <c r="E17" s="98"/>
    </row>
    <row r="18" customFormat="false" ht="14.25" hidden="false" customHeight="false" outlineLevel="0" collapsed="false">
      <c r="A18" s="93" t="str">
        <f aca="false">IF(B17="","",A17+1)</f>
        <v/>
      </c>
      <c r="B18" s="94"/>
      <c r="C18" s="94"/>
      <c r="D18" s="96"/>
      <c r="E18" s="98"/>
    </row>
    <row r="19" customFormat="false" ht="14.25" hidden="false" customHeight="false" outlineLevel="0" collapsed="false">
      <c r="A19" s="93" t="str">
        <f aca="false">IF(B18="","",A18+1)</f>
        <v/>
      </c>
      <c r="B19" s="94"/>
      <c r="C19" s="94"/>
      <c r="D19" s="96"/>
      <c r="E19" s="98"/>
    </row>
    <row r="20" customFormat="false" ht="14.25" hidden="false" customHeight="false" outlineLevel="0" collapsed="false">
      <c r="A20" s="93" t="str">
        <f aca="false">IF(B19="","",A19+1)</f>
        <v/>
      </c>
      <c r="B20" s="94"/>
      <c r="C20" s="94"/>
      <c r="D20" s="96"/>
      <c r="E20" s="98"/>
    </row>
    <row r="21" customFormat="false" ht="14.25" hidden="false" customHeight="false" outlineLevel="0" collapsed="false">
      <c r="A21" s="93" t="str">
        <f aca="false">IF(B20="","",A20+1)</f>
        <v/>
      </c>
      <c r="B21" s="94"/>
      <c r="C21" s="94"/>
      <c r="D21" s="96"/>
      <c r="E21" s="98"/>
    </row>
    <row r="22" customFormat="false" ht="14.25" hidden="false" customHeight="false" outlineLevel="0" collapsed="false">
      <c r="A22" s="93" t="str">
        <f aca="false">IF(B21="","",A21+1)</f>
        <v/>
      </c>
      <c r="B22" s="94"/>
      <c r="C22" s="94"/>
      <c r="D22" s="96"/>
      <c r="E22" s="98"/>
    </row>
    <row r="23" customFormat="false" ht="14.25" hidden="false" customHeight="false" outlineLevel="0" collapsed="false">
      <c r="A23" s="93" t="str">
        <f aca="false">IF(B22="","",A22+1)</f>
        <v/>
      </c>
      <c r="B23" s="94"/>
      <c r="C23" s="94"/>
      <c r="D23" s="96"/>
      <c r="E23" s="98"/>
    </row>
    <row r="24" customFormat="false" ht="14.25" hidden="false" customHeight="false" outlineLevel="0" collapsed="false">
      <c r="A24" s="93" t="str">
        <f aca="false">IF(B23="","",A23+1)</f>
        <v/>
      </c>
      <c r="B24" s="94"/>
      <c r="C24" s="94"/>
      <c r="D24" s="96"/>
      <c r="E24" s="98"/>
    </row>
    <row r="25" customFormat="false" ht="14.25" hidden="false" customHeight="false" outlineLevel="0" collapsed="false">
      <c r="A25" s="93" t="str">
        <f aca="false">IF(B24="","",A24+1)</f>
        <v/>
      </c>
      <c r="B25" s="94"/>
      <c r="C25" s="94"/>
      <c r="D25" s="96"/>
      <c r="E25" s="98"/>
    </row>
  </sheetData>
  <mergeCells count="1">
    <mergeCell ref="A1:F1"/>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4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2" ySplit="2" topLeftCell="C3" activePane="bottomRight" state="frozen"/>
      <selection pane="topLeft" activeCell="A1" activeCellId="0" sqref="A1"/>
      <selection pane="topRight" activeCell="C1" activeCellId="0" sqref="C1"/>
      <selection pane="bottomLeft" activeCell="A3" activeCellId="0" sqref="A3"/>
      <selection pane="bottomRight" activeCell="B7" activeCellId="0" sqref="B7"/>
    </sheetView>
  </sheetViews>
  <sheetFormatPr defaultColWidth="9.14453125" defaultRowHeight="14.25" zeroHeight="false" outlineLevelRow="0" outlineLevelCol="0"/>
  <cols>
    <col collapsed="false" customWidth="true" hidden="false" outlineLevel="0" max="1" min="1" style="100" width="10.57"/>
    <col collapsed="false" customWidth="true" hidden="false" outlineLevel="0" max="2" min="2" style="32" width="41.14"/>
    <col collapsed="false" customWidth="true" hidden="false" outlineLevel="0" max="3" min="3" style="31" width="21.29"/>
    <col collapsed="false" customWidth="true" hidden="false" outlineLevel="0" max="4" min="4" style="32" width="18.57"/>
    <col collapsed="false" customWidth="true" hidden="false" outlineLevel="0" max="5" min="5" style="32" width="19.57"/>
    <col collapsed="false" customWidth="true" hidden="false" outlineLevel="0" max="6" min="6" style="32" width="20.43"/>
    <col collapsed="false" customWidth="true" hidden="false" outlineLevel="0" max="7" min="7" style="32" width="19.15"/>
    <col collapsed="false" customWidth="true" hidden="false" outlineLevel="0" max="8" min="8" style="32" width="25.86"/>
    <col collapsed="false" customWidth="true" hidden="false" outlineLevel="0" max="9" min="9" style="32" width="38.29"/>
    <col collapsed="false" customWidth="false" hidden="false" outlineLevel="0" max="16384" min="10" style="32" width="9.14"/>
  </cols>
  <sheetData>
    <row r="1" customFormat="false" ht="19.7" hidden="false" customHeight="false" outlineLevel="0" collapsed="false">
      <c r="A1" s="34" t="s">
        <v>426</v>
      </c>
      <c r="B1" s="34"/>
      <c r="C1" s="34"/>
      <c r="D1" s="34"/>
      <c r="E1" s="34"/>
      <c r="F1" s="34"/>
      <c r="G1" s="34"/>
      <c r="H1" s="34"/>
      <c r="I1" s="34"/>
    </row>
    <row r="2" customFormat="false" ht="16.4" hidden="false" customHeight="false" outlineLevel="0" collapsed="false">
      <c r="A2" s="35" t="s">
        <v>40</v>
      </c>
      <c r="B2" s="35" t="s">
        <v>159</v>
      </c>
      <c r="C2" s="35" t="s">
        <v>427</v>
      </c>
      <c r="D2" s="35" t="s">
        <v>47</v>
      </c>
      <c r="E2" s="35" t="s">
        <v>48</v>
      </c>
      <c r="F2" s="35" t="s">
        <v>160</v>
      </c>
      <c r="G2" s="35" t="s">
        <v>161</v>
      </c>
      <c r="H2" s="35" t="s">
        <v>50</v>
      </c>
      <c r="I2" s="35" t="s">
        <v>51</v>
      </c>
    </row>
    <row r="3" customFormat="false" ht="45.75" hidden="false" customHeight="false" outlineLevel="0" collapsed="false">
      <c r="A3" s="155" t="n">
        <v>1</v>
      </c>
      <c r="B3" s="138" t="s">
        <v>428</v>
      </c>
      <c r="C3" s="40" t="s">
        <v>98</v>
      </c>
      <c r="D3" s="40" t="s">
        <v>397</v>
      </c>
      <c r="E3" s="123" t="n">
        <v>45078</v>
      </c>
      <c r="F3" s="123"/>
      <c r="G3" s="123" t="n">
        <v>45147</v>
      </c>
      <c r="H3" s="44" t="s">
        <v>58</v>
      </c>
      <c r="I3" s="45"/>
    </row>
    <row r="4" customFormat="false" ht="16.4" hidden="false" customHeight="false" outlineLevel="0" collapsed="false">
      <c r="A4" s="156" t="n">
        <f aca="false">IF(B3="","",A3+1)</f>
        <v>2</v>
      </c>
      <c r="B4" s="39" t="s">
        <v>429</v>
      </c>
      <c r="C4" s="40" t="s">
        <v>98</v>
      </c>
      <c r="D4" s="41" t="s">
        <v>357</v>
      </c>
      <c r="E4" s="123" t="n">
        <v>45170</v>
      </c>
      <c r="F4" s="123" t="n">
        <v>45204</v>
      </c>
      <c r="G4" s="81" t="n">
        <v>45214</v>
      </c>
      <c r="H4" s="44" t="s">
        <v>58</v>
      </c>
      <c r="I4" s="45"/>
    </row>
    <row r="5" customFormat="false" ht="16.4" hidden="false" customHeight="false" outlineLevel="0" collapsed="false">
      <c r="A5" s="156" t="n">
        <f aca="false">IF(B4="","",A4+1)</f>
        <v>3</v>
      </c>
      <c r="B5" s="48" t="s">
        <v>430</v>
      </c>
      <c r="C5" s="40" t="s">
        <v>98</v>
      </c>
      <c r="D5" s="41" t="s">
        <v>397</v>
      </c>
      <c r="E5" s="123" t="n">
        <v>45139</v>
      </c>
      <c r="F5" s="123" t="n">
        <v>45184</v>
      </c>
      <c r="G5" s="123" t="n">
        <v>45200</v>
      </c>
      <c r="H5" s="44" t="s">
        <v>58</v>
      </c>
    </row>
    <row r="6" customFormat="false" ht="16.4" hidden="false" customHeight="false" outlineLevel="0" collapsed="false">
      <c r="A6" s="157" t="n">
        <v>4</v>
      </c>
      <c r="B6" s="39" t="s">
        <v>431</v>
      </c>
      <c r="C6" s="158" t="s">
        <v>98</v>
      </c>
      <c r="D6" s="41" t="s">
        <v>56</v>
      </c>
      <c r="E6" s="123" t="n">
        <v>45139</v>
      </c>
      <c r="F6" s="123" t="n">
        <v>45191</v>
      </c>
      <c r="G6" s="43" t="n">
        <v>45261</v>
      </c>
      <c r="H6" s="44" t="s">
        <v>58</v>
      </c>
      <c r="I6" s="45"/>
    </row>
    <row r="7" customFormat="false" ht="16.4" hidden="false" customHeight="false" outlineLevel="0" collapsed="false">
      <c r="A7" s="157" t="n">
        <v>5</v>
      </c>
      <c r="B7" s="144" t="s">
        <v>432</v>
      </c>
      <c r="C7" s="158" t="s">
        <v>98</v>
      </c>
      <c r="D7" s="41" t="s">
        <v>433</v>
      </c>
      <c r="E7" s="43" t="n">
        <v>45231</v>
      </c>
      <c r="F7" s="43" t="n">
        <v>45260</v>
      </c>
      <c r="G7" s="43" t="n">
        <v>45261</v>
      </c>
      <c r="H7" s="44" t="s">
        <v>58</v>
      </c>
      <c r="I7" s="45"/>
    </row>
    <row r="8" customFormat="false" ht="14.25" hidden="false" customHeight="false" outlineLevel="0" collapsed="false">
      <c r="A8" s="157"/>
      <c r="B8" s="148"/>
      <c r="C8" s="158"/>
      <c r="D8" s="41"/>
      <c r="E8" s="43"/>
      <c r="F8" s="43"/>
      <c r="G8" s="43"/>
      <c r="H8" s="44"/>
      <c r="I8" s="45"/>
    </row>
    <row r="9" customFormat="false" ht="14.25" hidden="false" customHeight="false" outlineLevel="0" collapsed="false">
      <c r="A9" s="157" t="str">
        <f aca="false">IF(B8="","",A8+1)</f>
        <v/>
      </c>
      <c r="B9" s="148"/>
      <c r="C9" s="158"/>
      <c r="D9" s="41"/>
      <c r="E9" s="43"/>
      <c r="F9" s="43"/>
      <c r="G9" s="43"/>
      <c r="H9" s="44"/>
      <c r="I9" s="45"/>
    </row>
    <row r="10" customFormat="false" ht="14.25" hidden="false" customHeight="false" outlineLevel="0" collapsed="false">
      <c r="A10" s="157" t="str">
        <f aca="false">IF(B9="","",A9+1)</f>
        <v/>
      </c>
      <c r="B10" s="148"/>
      <c r="C10" s="158"/>
      <c r="D10" s="41"/>
      <c r="E10" s="43"/>
      <c r="F10" s="43"/>
      <c r="G10" s="43"/>
      <c r="H10" s="44"/>
      <c r="I10" s="45"/>
    </row>
    <row r="11" customFormat="false" ht="14.25" hidden="false" customHeight="false" outlineLevel="0" collapsed="false">
      <c r="A11" s="157" t="str">
        <f aca="false">IF(B10="","",A10+1)</f>
        <v/>
      </c>
      <c r="B11" s="148"/>
      <c r="C11" s="158"/>
      <c r="D11" s="41"/>
      <c r="E11" s="43"/>
      <c r="F11" s="43"/>
      <c r="G11" s="43"/>
      <c r="H11" s="44"/>
      <c r="I11" s="45"/>
    </row>
    <row r="12" customFormat="false" ht="14.25" hidden="false" customHeight="false" outlineLevel="0" collapsed="false">
      <c r="A12" s="157"/>
      <c r="B12" s="39"/>
      <c r="C12" s="158"/>
      <c r="D12" s="41"/>
      <c r="E12" s="46"/>
      <c r="F12" s="46"/>
      <c r="G12" s="46"/>
      <c r="H12" s="44"/>
      <c r="I12" s="45"/>
    </row>
    <row r="13" customFormat="false" ht="14.25" hidden="false" customHeight="false" outlineLevel="0" collapsed="false">
      <c r="A13" s="157" t="str">
        <f aca="false">IF(B12="","",A12+1)</f>
        <v/>
      </c>
      <c r="B13" s="39"/>
      <c r="C13" s="158"/>
      <c r="D13" s="41"/>
      <c r="E13" s="46"/>
      <c r="F13" s="46"/>
      <c r="G13" s="46"/>
      <c r="H13" s="44"/>
      <c r="I13" s="45"/>
    </row>
    <row r="14" customFormat="false" ht="14.25" hidden="false" customHeight="false" outlineLevel="0" collapsed="false">
      <c r="A14" s="102" t="str">
        <f aca="false">IF(B13="","",A13+1)</f>
        <v/>
      </c>
      <c r="B14" s="68"/>
      <c r="C14" s="40"/>
      <c r="D14" s="41"/>
      <c r="E14" s="46"/>
      <c r="F14" s="46"/>
      <c r="G14" s="46"/>
      <c r="H14" s="44"/>
      <c r="I14" s="45"/>
    </row>
    <row r="15" customFormat="false" ht="14.25" hidden="false" customHeight="false" outlineLevel="0" collapsed="false">
      <c r="A15" s="102" t="str">
        <f aca="false">IF(B14="","",A14+1)</f>
        <v/>
      </c>
      <c r="B15" s="39"/>
      <c r="C15" s="40"/>
      <c r="D15" s="41"/>
      <c r="E15" s="46"/>
      <c r="F15" s="46"/>
      <c r="G15" s="46"/>
      <c r="H15" s="44"/>
      <c r="I15" s="45"/>
    </row>
    <row r="16" customFormat="false" ht="14.25" hidden="false" customHeight="false" outlineLevel="0" collapsed="false">
      <c r="A16" s="102" t="str">
        <f aca="false">IF(B15="","",A15+1)</f>
        <v/>
      </c>
      <c r="B16" s="39"/>
      <c r="C16" s="40"/>
      <c r="D16" s="41"/>
      <c r="E16" s="46"/>
      <c r="F16" s="46"/>
      <c r="G16" s="46"/>
      <c r="H16" s="44"/>
      <c r="I16" s="45"/>
    </row>
    <row r="17" customFormat="false" ht="14.25" hidden="false" customHeight="false" outlineLevel="0" collapsed="false">
      <c r="A17" s="113" t="str">
        <f aca="false">IF(B16="","",A16+1)</f>
        <v/>
      </c>
      <c r="B17" s="94"/>
      <c r="C17" s="95"/>
      <c r="D17" s="96"/>
      <c r="E17" s="98"/>
      <c r="F17" s="98"/>
      <c r="G17" s="98"/>
      <c r="H17" s="99"/>
    </row>
    <row r="18" customFormat="false" ht="14.25" hidden="false" customHeight="false" outlineLevel="0" collapsed="false">
      <c r="A18" s="113" t="str">
        <f aca="false">IF(B17="","",A17+1)</f>
        <v/>
      </c>
      <c r="B18" s="94"/>
      <c r="C18" s="95"/>
      <c r="D18" s="96"/>
      <c r="E18" s="98"/>
      <c r="F18" s="98"/>
      <c r="G18" s="98"/>
      <c r="H18" s="99"/>
    </row>
    <row r="19" customFormat="false" ht="14.25" hidden="false" customHeight="false" outlineLevel="0" collapsed="false">
      <c r="A19" s="113" t="str">
        <f aca="false">IF(B18="","",A18+1)</f>
        <v/>
      </c>
      <c r="B19" s="94"/>
      <c r="C19" s="95"/>
      <c r="D19" s="96"/>
      <c r="E19" s="98"/>
      <c r="F19" s="98"/>
      <c r="G19" s="98"/>
      <c r="H19" s="99"/>
    </row>
    <row r="20" customFormat="false" ht="14.25" hidden="false" customHeight="false" outlineLevel="0" collapsed="false">
      <c r="A20" s="113" t="str">
        <f aca="false">IF(B19="","",A19+1)</f>
        <v/>
      </c>
      <c r="B20" s="94"/>
      <c r="C20" s="95"/>
      <c r="D20" s="96"/>
      <c r="E20" s="98"/>
      <c r="F20" s="98"/>
      <c r="G20" s="98"/>
      <c r="H20" s="99"/>
    </row>
    <row r="21" customFormat="false" ht="14.25" hidden="false" customHeight="false" outlineLevel="0" collapsed="false">
      <c r="A21" s="113" t="str">
        <f aca="false">IF(B20="","",A20+1)</f>
        <v/>
      </c>
      <c r="B21" s="94"/>
      <c r="C21" s="95"/>
      <c r="D21" s="96"/>
      <c r="E21" s="98"/>
      <c r="F21" s="98"/>
      <c r="G21" s="98"/>
      <c r="H21" s="99"/>
    </row>
    <row r="22" customFormat="false" ht="14.25" hidden="false" customHeight="false" outlineLevel="0" collapsed="false">
      <c r="A22" s="113" t="str">
        <f aca="false">IF(B21="","",A21+1)</f>
        <v/>
      </c>
      <c r="B22" s="94"/>
      <c r="C22" s="95"/>
      <c r="D22" s="96"/>
      <c r="E22" s="98"/>
      <c r="F22" s="98"/>
      <c r="G22" s="98"/>
      <c r="H22" s="99"/>
    </row>
    <row r="23" customFormat="false" ht="14.25" hidden="false" customHeight="false" outlineLevel="0" collapsed="false">
      <c r="A23" s="113" t="str">
        <f aca="false">IF(B22="","",A22+1)</f>
        <v/>
      </c>
      <c r="B23" s="94"/>
      <c r="C23" s="95"/>
      <c r="D23" s="96"/>
      <c r="E23" s="98"/>
      <c r="F23" s="98"/>
      <c r="G23" s="98"/>
      <c r="H23" s="99"/>
    </row>
    <row r="24" customFormat="false" ht="14.25" hidden="false" customHeight="false" outlineLevel="0" collapsed="false">
      <c r="A24" s="113" t="str">
        <f aca="false">IF(B23="","",A23+1)</f>
        <v/>
      </c>
      <c r="B24" s="94"/>
      <c r="C24" s="95"/>
      <c r="D24" s="96"/>
      <c r="E24" s="98"/>
      <c r="F24" s="98"/>
      <c r="G24" s="98"/>
      <c r="H24" s="99"/>
    </row>
    <row r="25" customFormat="false" ht="14.25" hidden="false" customHeight="false" outlineLevel="0" collapsed="false">
      <c r="A25" s="113" t="str">
        <f aca="false">IF(B24="","",A24+1)</f>
        <v/>
      </c>
      <c r="B25" s="94"/>
      <c r="C25" s="95"/>
      <c r="D25" s="96"/>
      <c r="E25" s="98"/>
      <c r="F25" s="98"/>
      <c r="G25" s="98"/>
      <c r="H25" s="99"/>
    </row>
    <row r="26" customFormat="false" ht="14.25" hidden="false" customHeight="false" outlineLevel="0" collapsed="false">
      <c r="A26" s="113" t="str">
        <f aca="false">IF(B25="","",A25+1)</f>
        <v/>
      </c>
      <c r="B26" s="94"/>
      <c r="C26" s="95"/>
      <c r="D26" s="96"/>
      <c r="E26" s="98"/>
      <c r="F26" s="98"/>
      <c r="G26" s="98"/>
      <c r="H26" s="99"/>
    </row>
    <row r="27" customFormat="false" ht="14.25" hidden="false" customHeight="false" outlineLevel="0" collapsed="false">
      <c r="A27" s="113" t="str">
        <f aca="false">IF(B26="","",A26+1)</f>
        <v/>
      </c>
      <c r="B27" s="94"/>
      <c r="C27" s="95"/>
      <c r="D27" s="96"/>
      <c r="E27" s="98"/>
      <c r="F27" s="98"/>
      <c r="G27" s="98"/>
      <c r="H27" s="99"/>
    </row>
    <row r="28" customFormat="false" ht="14.25" hidden="false" customHeight="false" outlineLevel="0" collapsed="false">
      <c r="A28" s="113" t="str">
        <f aca="false">IF(B27="","",A27+1)</f>
        <v/>
      </c>
      <c r="B28" s="94"/>
      <c r="C28" s="95"/>
      <c r="D28" s="96"/>
      <c r="E28" s="98"/>
      <c r="F28" s="98"/>
      <c r="G28" s="98"/>
      <c r="H28" s="99"/>
    </row>
    <row r="29" customFormat="false" ht="14.25" hidden="false" customHeight="false" outlineLevel="0" collapsed="false">
      <c r="A29" s="113" t="str">
        <f aca="false">IF(B28="","",A28+1)</f>
        <v/>
      </c>
      <c r="B29" s="94"/>
      <c r="C29" s="95"/>
      <c r="D29" s="96"/>
      <c r="E29" s="98"/>
      <c r="F29" s="98"/>
      <c r="G29" s="98"/>
      <c r="H29" s="99"/>
    </row>
    <row r="30" customFormat="false" ht="14.25" hidden="false" customHeight="false" outlineLevel="0" collapsed="false">
      <c r="A30" s="113" t="str">
        <f aca="false">IF(B29="","",A29+1)</f>
        <v/>
      </c>
      <c r="B30" s="94"/>
      <c r="C30" s="95"/>
      <c r="D30" s="96"/>
      <c r="E30" s="98"/>
      <c r="F30" s="98"/>
      <c r="G30" s="98"/>
      <c r="H30" s="99"/>
    </row>
    <row r="31" customFormat="false" ht="14.25" hidden="false" customHeight="false" outlineLevel="0" collapsed="false">
      <c r="A31" s="113" t="str">
        <f aca="false">IF(B30="","",A30+1)</f>
        <v/>
      </c>
      <c r="B31" s="94"/>
      <c r="C31" s="95"/>
      <c r="D31" s="96"/>
      <c r="E31" s="98"/>
      <c r="F31" s="98"/>
      <c r="G31" s="98"/>
      <c r="H31" s="99"/>
    </row>
    <row r="32" customFormat="false" ht="14.25" hidden="false" customHeight="false" outlineLevel="0" collapsed="false">
      <c r="A32" s="113" t="str">
        <f aca="false">IF(B31="","",A31+1)</f>
        <v/>
      </c>
      <c r="B32" s="94"/>
      <c r="C32" s="95"/>
      <c r="D32" s="96"/>
      <c r="E32" s="98"/>
      <c r="F32" s="98"/>
      <c r="G32" s="98"/>
      <c r="H32" s="99"/>
    </row>
    <row r="33" customFormat="false" ht="14.25" hidden="false" customHeight="false" outlineLevel="0" collapsed="false">
      <c r="A33" s="113" t="str">
        <f aca="false">IF(B32="","",A32+1)</f>
        <v/>
      </c>
      <c r="B33" s="94"/>
      <c r="C33" s="95"/>
      <c r="D33" s="96"/>
      <c r="E33" s="98"/>
      <c r="F33" s="98"/>
      <c r="G33" s="98"/>
      <c r="H33" s="99"/>
    </row>
    <row r="34" customFormat="false" ht="14.25" hidden="false" customHeight="false" outlineLevel="0" collapsed="false">
      <c r="A34" s="113" t="str">
        <f aca="false">IF(B33="","",A33+1)</f>
        <v/>
      </c>
      <c r="B34" s="94"/>
      <c r="C34" s="95"/>
      <c r="D34" s="96"/>
      <c r="E34" s="98"/>
      <c r="F34" s="98"/>
      <c r="G34" s="98"/>
      <c r="H34" s="99"/>
    </row>
    <row r="35" customFormat="false" ht="14.25" hidden="false" customHeight="false" outlineLevel="0" collapsed="false">
      <c r="A35" s="113" t="str">
        <f aca="false">IF(B34="","",A34+1)</f>
        <v/>
      </c>
      <c r="B35" s="94"/>
      <c r="C35" s="95"/>
      <c r="D35" s="96"/>
      <c r="E35" s="98"/>
      <c r="F35" s="98"/>
      <c r="G35" s="98"/>
      <c r="H35" s="99"/>
    </row>
    <row r="36" customFormat="false" ht="14.25" hidden="false" customHeight="false" outlineLevel="0" collapsed="false">
      <c r="A36" s="113" t="str">
        <f aca="false">IF(B35="","",A35+1)</f>
        <v/>
      </c>
      <c r="B36" s="94"/>
      <c r="C36" s="95"/>
      <c r="D36" s="96"/>
      <c r="E36" s="98"/>
      <c r="F36" s="98"/>
      <c r="G36" s="98"/>
      <c r="H36" s="99"/>
    </row>
    <row r="37" customFormat="false" ht="14.25" hidden="false" customHeight="false" outlineLevel="0" collapsed="false">
      <c r="A37" s="113" t="str">
        <f aca="false">IF(B36="","",A36+1)</f>
        <v/>
      </c>
      <c r="B37" s="94"/>
      <c r="C37" s="95"/>
      <c r="D37" s="96"/>
      <c r="E37" s="98"/>
      <c r="F37" s="98"/>
      <c r="G37" s="98"/>
      <c r="H37" s="99"/>
    </row>
    <row r="38" customFormat="false" ht="14.25" hidden="false" customHeight="false" outlineLevel="0" collapsed="false">
      <c r="A38" s="113" t="str">
        <f aca="false">IF(B37="","",A37+1)</f>
        <v/>
      </c>
      <c r="B38" s="94"/>
      <c r="C38" s="95"/>
      <c r="D38" s="96"/>
      <c r="E38" s="98"/>
      <c r="F38" s="98"/>
      <c r="G38" s="98"/>
      <c r="H38" s="99"/>
    </row>
    <row r="39" customFormat="false" ht="14.25" hidden="false" customHeight="false" outlineLevel="0" collapsed="false">
      <c r="A39" s="113" t="str">
        <f aca="false">IF(B38="","",A38+1)</f>
        <v/>
      </c>
      <c r="B39" s="94"/>
      <c r="C39" s="95"/>
      <c r="D39" s="96"/>
      <c r="E39" s="98"/>
      <c r="F39" s="98"/>
      <c r="G39" s="98"/>
      <c r="H39" s="99"/>
    </row>
    <row r="40" customFormat="false" ht="14.25" hidden="false" customHeight="false" outlineLevel="0" collapsed="false">
      <c r="A40" s="113" t="str">
        <f aca="false">IF(B39="","",A39+1)</f>
        <v/>
      </c>
      <c r="B40" s="94"/>
      <c r="C40" s="95"/>
      <c r="D40" s="96"/>
      <c r="E40" s="98"/>
      <c r="F40" s="98"/>
      <c r="G40" s="98"/>
      <c r="H40" s="99"/>
    </row>
    <row r="41" customFormat="false" ht="14.25" hidden="false" customHeight="false" outlineLevel="0" collapsed="false">
      <c r="A41" s="113" t="str">
        <f aca="false">IF(B40="","",A40+1)</f>
        <v/>
      </c>
      <c r="B41" s="94"/>
      <c r="D41" s="94"/>
      <c r="E41" s="115"/>
      <c r="F41" s="115"/>
      <c r="G41" s="115"/>
      <c r="H41" s="115"/>
    </row>
  </sheetData>
  <mergeCells count="1">
    <mergeCell ref="A1:I1"/>
  </mergeCells>
  <dataValidations count="2">
    <dataValidation allowBlank="true" errorStyle="stop" operator="between" showDropDown="false" showErrorMessage="true" showInputMessage="true" sqref="C3:C1041" type="list">
      <formula1>LOV!$D$2:$D$6</formula1>
      <formula2>0</formula2>
    </dataValidation>
    <dataValidation allowBlank="true" errorStyle="stop" operator="between" showDropDown="false" showErrorMessage="true" showInputMessage="true" sqref="H3:I4 H5:H41 I6:I41 H42:I1041" type="list">
      <formula1>LOV!$B$2:$B$3</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4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3" topLeftCell="Q4" activePane="bottomRight" state="frozen"/>
      <selection pane="topLeft" activeCell="A1" activeCellId="0" sqref="A1"/>
      <selection pane="topRight" activeCell="Q1" activeCellId="0" sqref="Q1"/>
      <selection pane="bottomLeft" activeCell="A4" activeCellId="0" sqref="A4"/>
      <selection pane="bottomRight" activeCell="U5" activeCellId="0" sqref="U5"/>
    </sheetView>
  </sheetViews>
  <sheetFormatPr defaultColWidth="12.57421875" defaultRowHeight="15" zeroHeight="false" outlineLevelRow="0" outlineLevelCol="0"/>
  <cols>
    <col collapsed="false" customWidth="true" hidden="false" outlineLevel="0" max="1" min="1" style="0" width="21"/>
    <col collapsed="false" customWidth="true" hidden="false" outlineLevel="0" max="2" min="2" style="159" width="72.72"/>
    <col collapsed="false" customWidth="true" hidden="false" outlineLevel="0" max="3" min="3" style="120" width="12"/>
    <col collapsed="false" customWidth="true" hidden="false" outlineLevel="0" max="4" min="4" style="160" width="10.71"/>
    <col collapsed="false" customWidth="true" hidden="false" outlineLevel="0" max="5" min="5" style="160" width="20.72"/>
    <col collapsed="false" customWidth="true" hidden="false" outlineLevel="0" max="6" min="6" style="160" width="12.43"/>
    <col collapsed="false" customWidth="true" hidden="false" outlineLevel="0" max="7" min="7" style="160" width="19.57"/>
    <col collapsed="false" customWidth="false" hidden="false" outlineLevel="0" max="9" min="8" style="120" width="12.57"/>
    <col collapsed="false" customWidth="true" hidden="true" outlineLevel="0" max="10" min="10" style="120" width="10.16"/>
  </cols>
  <sheetData>
    <row r="1" customFormat="false" ht="15" hidden="false" customHeight="false" outlineLevel="0" collapsed="false">
      <c r="A1" s="161" t="s">
        <v>434</v>
      </c>
    </row>
    <row r="2" customFormat="false" ht="15" hidden="false" customHeight="false" outlineLevel="0" collapsed="false">
      <c r="A2" s="162" t="s">
        <v>435</v>
      </c>
      <c r="B2" s="163" t="s">
        <v>436</v>
      </c>
      <c r="D2" s="120"/>
      <c r="E2" s="120"/>
      <c r="F2" s="120"/>
      <c r="G2" s="120"/>
    </row>
    <row r="3" customFormat="false" ht="16.4" hidden="false" customHeight="false" outlineLevel="0" collapsed="false">
      <c r="A3" s="164"/>
      <c r="B3" s="165" t="s">
        <v>437</v>
      </c>
      <c r="C3" s="166" t="s">
        <v>438</v>
      </c>
      <c r="D3" s="167" t="s">
        <v>439</v>
      </c>
      <c r="E3" s="167" t="s">
        <v>440</v>
      </c>
      <c r="F3" s="168" t="s">
        <v>441</v>
      </c>
      <c r="G3" s="169" t="s">
        <v>47</v>
      </c>
      <c r="H3" s="170" t="n">
        <v>44927</v>
      </c>
      <c r="I3" s="170" t="n">
        <v>44958</v>
      </c>
      <c r="J3" s="170" t="n">
        <v>44986</v>
      </c>
      <c r="K3" s="171" t="n">
        <v>45017</v>
      </c>
      <c r="L3" s="172" t="n">
        <v>45047</v>
      </c>
      <c r="M3" s="172" t="n">
        <v>45078</v>
      </c>
      <c r="N3" s="172" t="n">
        <v>45108</v>
      </c>
      <c r="O3" s="172" t="n">
        <v>45139</v>
      </c>
      <c r="P3" s="172" t="n">
        <v>45170</v>
      </c>
      <c r="Q3" s="172" t="n">
        <v>45200</v>
      </c>
      <c r="R3" s="173" t="n">
        <v>45231</v>
      </c>
      <c r="S3" s="174" t="n">
        <v>45261</v>
      </c>
      <c r="T3" s="174" t="n">
        <v>45292</v>
      </c>
      <c r="U3" s="174" t="n">
        <v>45323</v>
      </c>
      <c r="V3" s="174" t="n">
        <v>45352</v>
      </c>
      <c r="W3" s="174" t="n">
        <v>45383</v>
      </c>
      <c r="X3" s="174" t="n">
        <v>45413</v>
      </c>
      <c r="Y3" s="174" t="n">
        <v>45444</v>
      </c>
      <c r="Z3" s="174" t="n">
        <v>45474</v>
      </c>
    </row>
    <row r="4" customFormat="false" ht="16.4" hidden="false" customHeight="false" outlineLevel="0" collapsed="false">
      <c r="A4" s="175" t="s">
        <v>442</v>
      </c>
      <c r="B4" s="176" t="s">
        <v>443</v>
      </c>
      <c r="C4" s="177" t="s">
        <v>444</v>
      </c>
      <c r="D4" s="178" t="s">
        <v>445</v>
      </c>
      <c r="E4" s="178" t="s">
        <v>446</v>
      </c>
      <c r="F4" s="179" t="s">
        <v>447</v>
      </c>
      <c r="G4" s="180" t="s">
        <v>448</v>
      </c>
      <c r="H4" s="28" t="s">
        <v>34</v>
      </c>
      <c r="I4" s="28" t="s">
        <v>34</v>
      </c>
      <c r="J4" s="28" t="s">
        <v>34</v>
      </c>
      <c r="K4" s="28" t="s">
        <v>34</v>
      </c>
      <c r="L4" s="28" t="s">
        <v>34</v>
      </c>
      <c r="M4" s="28" t="s">
        <v>34</v>
      </c>
      <c r="N4" s="28" t="s">
        <v>34</v>
      </c>
      <c r="O4" s="28" t="s">
        <v>34</v>
      </c>
      <c r="P4" s="28" t="s">
        <v>34</v>
      </c>
      <c r="Q4" s="28" t="s">
        <v>34</v>
      </c>
      <c r="R4" s="28" t="s">
        <v>34</v>
      </c>
      <c r="S4" s="28" t="s">
        <v>34</v>
      </c>
      <c r="T4" s="28" t="s">
        <v>34</v>
      </c>
      <c r="U4" s="28" t="s">
        <v>34</v>
      </c>
    </row>
    <row r="5" customFormat="false" ht="16.4" hidden="false" customHeight="false" outlineLevel="0" collapsed="false">
      <c r="A5" s="175"/>
      <c r="B5" s="176" t="s">
        <v>449</v>
      </c>
      <c r="C5" s="177" t="s">
        <v>444</v>
      </c>
      <c r="D5" s="178" t="s">
        <v>445</v>
      </c>
      <c r="E5" s="178" t="s">
        <v>450</v>
      </c>
      <c r="F5" s="179" t="n">
        <v>0</v>
      </c>
      <c r="G5" s="180" t="s">
        <v>448</v>
      </c>
      <c r="H5" s="28"/>
      <c r="I5" s="28"/>
      <c r="J5" s="28"/>
      <c r="K5" s="28"/>
      <c r="L5" s="28" t="n">
        <v>0</v>
      </c>
      <c r="M5" s="28" t="n">
        <v>0</v>
      </c>
      <c r="N5" s="28" t="n">
        <v>0</v>
      </c>
      <c r="O5" s="28" t="n">
        <v>0</v>
      </c>
      <c r="P5" s="28" t="n">
        <v>0</v>
      </c>
      <c r="Q5" s="28" t="n">
        <v>0</v>
      </c>
      <c r="R5" s="28" t="n">
        <v>0</v>
      </c>
      <c r="S5" s="28" t="n">
        <v>0</v>
      </c>
      <c r="T5" s="28" t="n">
        <v>0</v>
      </c>
      <c r="U5" s="28" t="n">
        <v>0</v>
      </c>
    </row>
    <row r="6" customFormat="false" ht="16.4" hidden="false" customHeight="false" outlineLevel="0" collapsed="false">
      <c r="A6" s="175"/>
      <c r="B6" s="176" t="s">
        <v>451</v>
      </c>
      <c r="C6" s="177" t="s">
        <v>444</v>
      </c>
      <c r="D6" s="178" t="s">
        <v>445</v>
      </c>
      <c r="E6" s="178" t="s">
        <v>446</v>
      </c>
      <c r="F6" s="179" t="s">
        <v>452</v>
      </c>
      <c r="G6" s="180" t="s">
        <v>448</v>
      </c>
      <c r="H6" s="28" t="s">
        <v>36</v>
      </c>
      <c r="I6" s="28" t="s">
        <v>36</v>
      </c>
      <c r="J6" s="28" t="s">
        <v>36</v>
      </c>
      <c r="K6" s="28" t="s">
        <v>36</v>
      </c>
      <c r="L6" s="28" t="s">
        <v>34</v>
      </c>
      <c r="M6" s="28" t="s">
        <v>36</v>
      </c>
      <c r="N6" s="28" t="s">
        <v>36</v>
      </c>
      <c r="O6" s="28" t="s">
        <v>36</v>
      </c>
      <c r="P6" s="28" t="s">
        <v>36</v>
      </c>
      <c r="Q6" s="28" t="s">
        <v>36</v>
      </c>
      <c r="R6" s="28" t="s">
        <v>36</v>
      </c>
      <c r="S6" s="28" t="s">
        <v>36</v>
      </c>
      <c r="T6" s="28" t="s">
        <v>36</v>
      </c>
      <c r="U6" s="28" t="s">
        <v>36</v>
      </c>
    </row>
    <row r="7" customFormat="false" ht="16.4" hidden="false" customHeight="false" outlineLevel="0" collapsed="false">
      <c r="A7" s="175"/>
      <c r="B7" s="176" t="s">
        <v>453</v>
      </c>
      <c r="C7" s="177" t="s">
        <v>444</v>
      </c>
      <c r="D7" s="178" t="s">
        <v>445</v>
      </c>
      <c r="E7" s="178" t="s">
        <v>446</v>
      </c>
      <c r="F7" s="179" t="s">
        <v>447</v>
      </c>
      <c r="G7" s="180" t="s">
        <v>448</v>
      </c>
      <c r="H7" s="28" t="s">
        <v>34</v>
      </c>
      <c r="I7" s="28" t="s">
        <v>34</v>
      </c>
      <c r="J7" s="28" t="s">
        <v>34</v>
      </c>
      <c r="K7" s="28" t="s">
        <v>34</v>
      </c>
      <c r="L7" s="28" t="s">
        <v>34</v>
      </c>
      <c r="M7" s="28" t="s">
        <v>34</v>
      </c>
      <c r="N7" s="28" t="s">
        <v>34</v>
      </c>
      <c r="O7" s="28" t="s">
        <v>34</v>
      </c>
      <c r="P7" s="28" t="s">
        <v>34</v>
      </c>
      <c r="Q7" s="28" t="s">
        <v>34</v>
      </c>
      <c r="R7" s="28" t="s">
        <v>34</v>
      </c>
      <c r="S7" s="28" t="s">
        <v>34</v>
      </c>
      <c r="T7" s="28" t="s">
        <v>34</v>
      </c>
      <c r="U7" s="28" t="s">
        <v>34</v>
      </c>
    </row>
    <row r="8" customFormat="false" ht="16.4" hidden="false" customHeight="false" outlineLevel="0" collapsed="false">
      <c r="A8" s="175"/>
      <c r="B8" s="176" t="s">
        <v>454</v>
      </c>
      <c r="C8" s="177" t="s">
        <v>444</v>
      </c>
      <c r="D8" s="178" t="s">
        <v>445</v>
      </c>
      <c r="E8" s="178" t="s">
        <v>450</v>
      </c>
      <c r="F8" s="179" t="n">
        <v>0</v>
      </c>
      <c r="G8" s="180" t="s">
        <v>448</v>
      </c>
      <c r="H8" s="28" t="n">
        <v>0</v>
      </c>
      <c r="I8" s="28" t="n">
        <v>0</v>
      </c>
      <c r="J8" s="28" t="n">
        <v>0</v>
      </c>
      <c r="K8" s="28" t="n">
        <v>0</v>
      </c>
      <c r="L8" s="28" t="n">
        <v>0</v>
      </c>
      <c r="M8" s="28" t="n">
        <v>0</v>
      </c>
      <c r="N8" s="28" t="n">
        <v>0</v>
      </c>
      <c r="O8" s="28" t="n">
        <v>0</v>
      </c>
      <c r="P8" s="28" t="n">
        <v>0</v>
      </c>
      <c r="Q8" s="28" t="n">
        <v>0</v>
      </c>
      <c r="R8" s="28" t="n">
        <v>0</v>
      </c>
      <c r="S8" s="28" t="n">
        <v>0</v>
      </c>
      <c r="T8" s="28" t="n">
        <v>0</v>
      </c>
      <c r="U8" s="28" t="n">
        <v>0</v>
      </c>
    </row>
    <row r="9" customFormat="false" ht="16.4" hidden="false" customHeight="false" outlineLevel="0" collapsed="false">
      <c r="A9" s="175"/>
      <c r="B9" s="176" t="s">
        <v>455</v>
      </c>
      <c r="C9" s="181" t="str">
        <f aca="false">IF(B2="Team Extension", "N", "Y")</f>
        <v>Y</v>
      </c>
      <c r="D9" s="178" t="s">
        <v>445</v>
      </c>
      <c r="E9" s="178" t="s">
        <v>450</v>
      </c>
      <c r="F9" s="179" t="n">
        <v>1</v>
      </c>
      <c r="G9" s="180" t="s">
        <v>448</v>
      </c>
      <c r="H9" s="28" t="n">
        <v>1</v>
      </c>
      <c r="I9" s="28" t="n">
        <v>1</v>
      </c>
      <c r="J9" s="28" t="n">
        <v>1</v>
      </c>
      <c r="K9" s="28" t="n">
        <v>1</v>
      </c>
      <c r="L9" s="28" t="n">
        <v>1</v>
      </c>
      <c r="M9" s="28" t="n">
        <v>1</v>
      </c>
      <c r="N9" s="28" t="n">
        <v>1</v>
      </c>
      <c r="O9" s="28" t="n">
        <v>1</v>
      </c>
      <c r="P9" s="28" t="n">
        <v>1</v>
      </c>
      <c r="Q9" s="28" t="n">
        <v>1</v>
      </c>
      <c r="R9" s="28" t="n">
        <v>1</v>
      </c>
      <c r="S9" s="28" t="n">
        <v>1</v>
      </c>
      <c r="T9" s="28" t="n">
        <v>1</v>
      </c>
      <c r="U9" s="28" t="n">
        <v>1</v>
      </c>
    </row>
    <row r="10" customFormat="false" ht="16.4" hidden="false" customHeight="false" outlineLevel="0" collapsed="false">
      <c r="A10" s="175"/>
      <c r="B10" s="176" t="s">
        <v>456</v>
      </c>
      <c r="C10" s="181" t="str">
        <f aca="false">IF(B2="Team Extension", "N", "Y")</f>
        <v>Y</v>
      </c>
      <c r="D10" s="178" t="s">
        <v>445</v>
      </c>
      <c r="E10" s="178" t="s">
        <v>450</v>
      </c>
      <c r="F10" s="179" t="n">
        <v>0</v>
      </c>
      <c r="G10" s="180" t="s">
        <v>448</v>
      </c>
      <c r="H10" s="28"/>
      <c r="I10" s="28"/>
      <c r="J10" s="28"/>
      <c r="K10" s="28" t="n">
        <v>0</v>
      </c>
      <c r="L10" s="28" t="n">
        <v>0</v>
      </c>
      <c r="M10" s="28" t="n">
        <v>0</v>
      </c>
      <c r="N10" s="28" t="n">
        <v>0</v>
      </c>
      <c r="O10" s="28" t="n">
        <v>0</v>
      </c>
      <c r="P10" s="28" t="n">
        <v>0</v>
      </c>
      <c r="Q10" s="28" t="n">
        <v>0</v>
      </c>
      <c r="R10" s="28" t="n">
        <v>0</v>
      </c>
      <c r="S10" s="28" t="n">
        <v>0</v>
      </c>
      <c r="T10" s="28" t="n">
        <v>0</v>
      </c>
      <c r="U10" s="28" t="n">
        <v>0</v>
      </c>
    </row>
    <row r="11" customFormat="false" ht="16.4" hidden="false" customHeight="false" outlineLevel="0" collapsed="false">
      <c r="A11" s="175"/>
      <c r="B11" s="176" t="s">
        <v>457</v>
      </c>
      <c r="C11" s="181" t="str">
        <f aca="false">IF(B2="Team Extension", "N", "Y")</f>
        <v>Y</v>
      </c>
      <c r="D11" s="178" t="s">
        <v>445</v>
      </c>
      <c r="E11" s="178" t="s">
        <v>446</v>
      </c>
      <c r="F11" s="179" t="s">
        <v>447</v>
      </c>
      <c r="G11" s="180" t="s">
        <v>448</v>
      </c>
      <c r="H11" s="28" t="s">
        <v>34</v>
      </c>
      <c r="I11" s="28" t="s">
        <v>34</v>
      </c>
      <c r="J11" s="28" t="s">
        <v>34</v>
      </c>
      <c r="K11" s="28" t="s">
        <v>34</v>
      </c>
      <c r="L11" s="28" t="s">
        <v>34</v>
      </c>
      <c r="M11" s="28" t="s">
        <v>34</v>
      </c>
      <c r="N11" s="28" t="s">
        <v>34</v>
      </c>
      <c r="O11" s="28" t="s">
        <v>34</v>
      </c>
      <c r="P11" s="28" t="s">
        <v>34</v>
      </c>
      <c r="Q11" s="28" t="s">
        <v>34</v>
      </c>
      <c r="R11" s="28" t="s">
        <v>34</v>
      </c>
      <c r="S11" s="28" t="s">
        <v>34</v>
      </c>
      <c r="T11" s="28" t="s">
        <v>34</v>
      </c>
      <c r="U11" s="28" t="s">
        <v>34</v>
      </c>
    </row>
    <row r="12" customFormat="false" ht="16.4" hidden="false" customHeight="false" outlineLevel="0" collapsed="false">
      <c r="A12" s="175"/>
      <c r="B12" s="176" t="s">
        <v>458</v>
      </c>
      <c r="C12" s="177" t="s">
        <v>444</v>
      </c>
      <c r="D12" s="178" t="s">
        <v>445</v>
      </c>
      <c r="E12" s="178" t="s">
        <v>450</v>
      </c>
      <c r="F12" s="179" t="n">
        <v>0</v>
      </c>
      <c r="G12" s="180" t="s">
        <v>448</v>
      </c>
      <c r="H12" s="28" t="n">
        <v>0</v>
      </c>
      <c r="I12" s="28" t="n">
        <v>0</v>
      </c>
      <c r="J12" s="28" t="n">
        <v>0</v>
      </c>
      <c r="K12" s="28" t="n">
        <v>0</v>
      </c>
      <c r="L12" s="28" t="n">
        <v>1</v>
      </c>
      <c r="M12" s="28" t="n">
        <v>0</v>
      </c>
      <c r="N12" s="28" t="n">
        <v>0</v>
      </c>
      <c r="O12" s="28" t="n">
        <v>0</v>
      </c>
      <c r="P12" s="28" t="n">
        <v>0</v>
      </c>
      <c r="Q12" s="28" t="n">
        <v>0</v>
      </c>
      <c r="R12" s="28" t="n">
        <v>0</v>
      </c>
      <c r="S12" s="28" t="n">
        <v>0</v>
      </c>
      <c r="T12" s="28" t="n">
        <v>0</v>
      </c>
      <c r="U12" s="28" t="n">
        <v>0</v>
      </c>
    </row>
    <row r="13" customFormat="false" ht="30.75" hidden="false" customHeight="false" outlineLevel="0" collapsed="false">
      <c r="A13" s="175"/>
      <c r="B13" s="176" t="s">
        <v>459</v>
      </c>
      <c r="C13" s="177" t="s">
        <v>444</v>
      </c>
      <c r="D13" s="178" t="s">
        <v>445</v>
      </c>
      <c r="E13" s="178" t="s">
        <v>450</v>
      </c>
      <c r="F13" s="179" t="n">
        <v>0</v>
      </c>
      <c r="G13" s="180" t="s">
        <v>448</v>
      </c>
      <c r="H13" s="28" t="n">
        <v>0</v>
      </c>
      <c r="I13" s="28" t="n">
        <v>0</v>
      </c>
      <c r="J13" s="28" t="n">
        <v>0</v>
      </c>
      <c r="K13" s="28" t="n">
        <v>0</v>
      </c>
      <c r="L13" s="28" t="n">
        <v>0</v>
      </c>
      <c r="M13" s="28" t="n">
        <v>0</v>
      </c>
      <c r="N13" s="28" t="n">
        <v>0</v>
      </c>
      <c r="O13" s="28" t="n">
        <v>0</v>
      </c>
      <c r="P13" s="28" t="n">
        <v>0</v>
      </c>
      <c r="Q13" s="28" t="n">
        <v>0</v>
      </c>
      <c r="R13" s="28" t="n">
        <v>0</v>
      </c>
      <c r="S13" s="28" t="n">
        <v>0</v>
      </c>
      <c r="T13" s="28" t="n">
        <v>0</v>
      </c>
      <c r="U13" s="28" t="n">
        <v>0</v>
      </c>
    </row>
    <row r="14" customFormat="false" ht="16.4" hidden="false" customHeight="false" outlineLevel="0" collapsed="false">
      <c r="A14" s="175"/>
      <c r="B14" s="176" t="s">
        <v>460</v>
      </c>
      <c r="C14" s="181" t="str">
        <f aca="false">IF(B2="Team Extension", "N", "Y")</f>
        <v>Y</v>
      </c>
      <c r="D14" s="178" t="s">
        <v>445</v>
      </c>
      <c r="E14" s="178" t="s">
        <v>461</v>
      </c>
      <c r="F14" s="179" t="n">
        <v>15</v>
      </c>
      <c r="G14" s="180" t="s">
        <v>448</v>
      </c>
      <c r="H14" s="28" t="n">
        <v>30</v>
      </c>
      <c r="I14" s="28" t="n">
        <v>20</v>
      </c>
      <c r="J14" s="28" t="n">
        <v>30</v>
      </c>
      <c r="K14" s="28" t="n">
        <v>30</v>
      </c>
      <c r="L14" s="28" t="n">
        <v>30</v>
      </c>
      <c r="M14" s="28" t="n">
        <v>30</v>
      </c>
      <c r="N14" s="28" t="n">
        <v>30</v>
      </c>
      <c r="O14" s="28" t="n">
        <v>15</v>
      </c>
      <c r="P14" s="28" t="n">
        <v>15</v>
      </c>
      <c r="Q14" s="28" t="n">
        <v>15</v>
      </c>
      <c r="R14" s="28" t="n">
        <v>15</v>
      </c>
      <c r="S14" s="28" t="n">
        <v>15</v>
      </c>
      <c r="T14" s="28" t="n">
        <v>15</v>
      </c>
      <c r="U14" s="28" t="n">
        <v>15</v>
      </c>
    </row>
    <row r="15" customFormat="false" ht="16.4" hidden="false" customHeight="false" outlineLevel="0" collapsed="false">
      <c r="A15" s="175"/>
      <c r="B15" s="176" t="s">
        <v>462</v>
      </c>
      <c r="C15" s="177" t="s">
        <v>444</v>
      </c>
      <c r="D15" s="178" t="s">
        <v>445</v>
      </c>
      <c r="E15" s="178" t="s">
        <v>450</v>
      </c>
      <c r="F15" s="179" t="n">
        <v>0</v>
      </c>
      <c r="G15" s="180" t="s">
        <v>448</v>
      </c>
      <c r="H15" s="28" t="n">
        <v>10</v>
      </c>
      <c r="I15" s="28" t="n">
        <v>15</v>
      </c>
      <c r="J15" s="28" t="n">
        <v>18</v>
      </c>
      <c r="K15" s="28" t="n">
        <v>15</v>
      </c>
      <c r="L15" s="28" t="n">
        <v>15</v>
      </c>
      <c r="M15" s="28" t="n">
        <v>10</v>
      </c>
      <c r="N15" s="28" t="n">
        <v>5</v>
      </c>
      <c r="O15" s="28" t="n">
        <v>3</v>
      </c>
      <c r="P15" s="28" t="n">
        <v>0</v>
      </c>
      <c r="Q15" s="28" t="n">
        <v>0</v>
      </c>
      <c r="R15" s="28" t="n">
        <v>0</v>
      </c>
      <c r="S15" s="28" t="n">
        <v>0</v>
      </c>
      <c r="T15" s="28" t="n">
        <v>0</v>
      </c>
      <c r="U15" s="28" t="n">
        <v>0</v>
      </c>
    </row>
    <row r="16" customFormat="false" ht="15" hidden="false" customHeight="false" outlineLevel="0" collapsed="false">
      <c r="A16" s="175" t="s">
        <v>463</v>
      </c>
      <c r="B16" s="182"/>
      <c r="C16" s="183"/>
      <c r="D16" s="184"/>
      <c r="E16" s="184"/>
      <c r="F16" s="185"/>
      <c r="G16" s="186"/>
      <c r="H16" s="28"/>
      <c r="I16" s="28"/>
      <c r="J16" s="28"/>
      <c r="K16" s="28"/>
      <c r="L16" s="28"/>
      <c r="M16" s="28"/>
      <c r="N16" s="28"/>
      <c r="O16" s="28"/>
      <c r="P16" s="28"/>
      <c r="Q16" s="28"/>
      <c r="R16" s="28"/>
      <c r="S16" s="28"/>
      <c r="T16" s="28"/>
      <c r="U16" s="28"/>
    </row>
    <row r="17" customFormat="false" ht="16.4" hidden="false" customHeight="false" outlineLevel="0" collapsed="false">
      <c r="A17" s="175"/>
      <c r="B17" s="176" t="s">
        <v>464</v>
      </c>
      <c r="C17" s="177" t="s">
        <v>444</v>
      </c>
      <c r="D17" s="178" t="s">
        <v>445</v>
      </c>
      <c r="E17" s="178" t="s">
        <v>465</v>
      </c>
      <c r="F17" s="179" t="n">
        <v>0</v>
      </c>
      <c r="G17" s="180" t="s">
        <v>448</v>
      </c>
      <c r="H17" s="28" t="n">
        <v>0</v>
      </c>
      <c r="I17" s="28" t="n">
        <v>0</v>
      </c>
      <c r="J17" s="28" t="n">
        <v>0</v>
      </c>
      <c r="K17" s="28" t="n">
        <v>1</v>
      </c>
      <c r="L17" s="28" t="n">
        <v>0</v>
      </c>
      <c r="M17" s="28" t="n">
        <v>0</v>
      </c>
      <c r="N17" s="28" t="n">
        <v>0</v>
      </c>
      <c r="O17" s="28" t="n">
        <v>0</v>
      </c>
      <c r="P17" s="28" t="n">
        <v>0</v>
      </c>
      <c r="Q17" s="28" t="n">
        <v>0</v>
      </c>
      <c r="R17" s="28" t="n">
        <v>0</v>
      </c>
      <c r="S17" s="28" t="n">
        <v>0</v>
      </c>
      <c r="T17" s="28" t="n">
        <v>0</v>
      </c>
      <c r="U17" s="28" t="n">
        <v>0</v>
      </c>
    </row>
    <row r="18" customFormat="false" ht="16.4" hidden="false" customHeight="false" outlineLevel="0" collapsed="false">
      <c r="A18" s="175"/>
      <c r="B18" s="176" t="s">
        <v>466</v>
      </c>
      <c r="C18" s="177" t="s">
        <v>444</v>
      </c>
      <c r="D18" s="178" t="s">
        <v>445</v>
      </c>
      <c r="E18" s="178" t="s">
        <v>465</v>
      </c>
      <c r="F18" s="179" t="n">
        <v>0</v>
      </c>
      <c r="G18" s="180" t="s">
        <v>448</v>
      </c>
      <c r="H18" s="28" t="n">
        <v>0</v>
      </c>
      <c r="I18" s="28" t="n">
        <v>0</v>
      </c>
      <c r="J18" s="28" t="n">
        <v>0</v>
      </c>
      <c r="K18" s="28" t="n">
        <v>0</v>
      </c>
      <c r="L18" s="28" t="n">
        <v>1</v>
      </c>
      <c r="M18" s="28" t="n">
        <v>0</v>
      </c>
      <c r="N18" s="28" t="n">
        <v>0</v>
      </c>
      <c r="O18" s="28" t="n">
        <v>0</v>
      </c>
      <c r="P18" s="28" t="n">
        <v>1</v>
      </c>
      <c r="Q18" s="28" t="n">
        <v>0</v>
      </c>
      <c r="R18" s="28" t="n">
        <v>0</v>
      </c>
      <c r="S18" s="28" t="n">
        <v>0</v>
      </c>
      <c r="T18" s="28" t="n">
        <v>0</v>
      </c>
      <c r="U18" s="28" t="n">
        <v>0</v>
      </c>
    </row>
    <row r="19" customFormat="false" ht="16.4" hidden="false" customHeight="false" outlineLevel="0" collapsed="false">
      <c r="A19" s="175"/>
      <c r="B19" s="187" t="s">
        <v>467</v>
      </c>
      <c r="C19" s="181" t="str">
        <f aca="false">IF(B2="Team Extension", "N", "Y")</f>
        <v>Y</v>
      </c>
      <c r="D19" s="178" t="s">
        <v>445</v>
      </c>
      <c r="E19" s="178" t="s">
        <v>465</v>
      </c>
      <c r="F19" s="179" t="n">
        <v>0</v>
      </c>
      <c r="G19" s="180" t="s">
        <v>448</v>
      </c>
      <c r="H19" s="28" t="n">
        <v>1</v>
      </c>
      <c r="I19" s="28" t="n">
        <v>0</v>
      </c>
      <c r="J19" s="28" t="n">
        <v>0</v>
      </c>
      <c r="K19" s="28" t="n">
        <v>0</v>
      </c>
      <c r="L19" s="28" t="n">
        <v>0</v>
      </c>
      <c r="M19" s="28" t="n">
        <v>0</v>
      </c>
      <c r="N19" s="28" t="n">
        <v>0</v>
      </c>
      <c r="O19" s="28" t="n">
        <v>0</v>
      </c>
      <c r="P19" s="28" t="n">
        <v>0</v>
      </c>
      <c r="Q19" s="28" t="n">
        <v>0</v>
      </c>
      <c r="R19" s="28" t="n">
        <v>0</v>
      </c>
      <c r="S19" s="28" t="n">
        <v>0</v>
      </c>
      <c r="T19" s="28" t="n">
        <v>0</v>
      </c>
      <c r="U19" s="28" t="n">
        <v>0</v>
      </c>
    </row>
    <row r="20" customFormat="false" ht="16.4" hidden="false" customHeight="false" outlineLevel="0" collapsed="false">
      <c r="A20" s="175"/>
      <c r="B20" s="176" t="s">
        <v>468</v>
      </c>
      <c r="C20" s="177" t="s">
        <v>444</v>
      </c>
      <c r="D20" s="178" t="s">
        <v>445</v>
      </c>
      <c r="E20" s="178" t="s">
        <v>446</v>
      </c>
      <c r="F20" s="179" t="s">
        <v>452</v>
      </c>
      <c r="G20" s="180" t="s">
        <v>448</v>
      </c>
      <c r="H20" s="28"/>
      <c r="I20" s="28"/>
      <c r="J20" s="28"/>
      <c r="K20" s="28"/>
      <c r="L20" s="28" t="n">
        <v>0</v>
      </c>
      <c r="M20" s="28" t="n">
        <v>0</v>
      </c>
      <c r="N20" s="28" t="n">
        <v>0</v>
      </c>
      <c r="O20" s="28" t="n">
        <v>0</v>
      </c>
      <c r="P20" s="28" t="n">
        <v>0</v>
      </c>
      <c r="Q20" s="28" t="n">
        <v>0</v>
      </c>
      <c r="R20" s="28" t="n">
        <v>0</v>
      </c>
      <c r="S20" s="28" t="n">
        <v>0</v>
      </c>
      <c r="T20" s="28" t="n">
        <v>0</v>
      </c>
      <c r="U20" s="28" t="n">
        <v>0</v>
      </c>
    </row>
    <row r="21" customFormat="false" ht="30.75" hidden="false" customHeight="false" outlineLevel="0" collapsed="false">
      <c r="A21" s="175"/>
      <c r="B21" s="176" t="s">
        <v>469</v>
      </c>
      <c r="C21" s="177" t="s">
        <v>444</v>
      </c>
      <c r="D21" s="178" t="s">
        <v>445</v>
      </c>
      <c r="E21" s="178" t="s">
        <v>450</v>
      </c>
      <c r="F21" s="179" t="n">
        <v>0</v>
      </c>
      <c r="G21" s="180" t="s">
        <v>448</v>
      </c>
      <c r="H21" s="28"/>
      <c r="I21" s="28"/>
      <c r="J21" s="28"/>
      <c r="K21" s="28"/>
      <c r="L21" s="28" t="n">
        <v>4</v>
      </c>
      <c r="M21" s="28" t="n">
        <v>2</v>
      </c>
      <c r="N21" s="28" t="n">
        <v>0</v>
      </c>
      <c r="O21" s="28" t="n">
        <v>0</v>
      </c>
      <c r="P21" s="28" t="n">
        <v>0</v>
      </c>
      <c r="Q21" s="28" t="n">
        <v>0</v>
      </c>
      <c r="R21" s="28" t="n">
        <v>0</v>
      </c>
      <c r="S21" s="28" t="n">
        <v>0</v>
      </c>
      <c r="T21" s="28" t="n">
        <v>0</v>
      </c>
      <c r="U21" s="28" t="n">
        <v>0</v>
      </c>
    </row>
    <row r="22" customFormat="false" ht="30.75" hidden="false" customHeight="false" outlineLevel="0" collapsed="false">
      <c r="A22" s="175"/>
      <c r="B22" s="176" t="s">
        <v>470</v>
      </c>
      <c r="C22" s="177" t="s">
        <v>444</v>
      </c>
      <c r="D22" s="178" t="s">
        <v>445</v>
      </c>
      <c r="E22" s="178" t="s">
        <v>450</v>
      </c>
      <c r="F22" s="179" t="n">
        <v>0</v>
      </c>
      <c r="G22" s="180" t="s">
        <v>448</v>
      </c>
      <c r="H22" s="28"/>
      <c r="I22" s="28"/>
      <c r="J22" s="28"/>
      <c r="K22" s="28"/>
      <c r="L22" s="28" t="n">
        <v>5</v>
      </c>
      <c r="M22" s="28" t="n">
        <v>10</v>
      </c>
      <c r="N22" s="28" t="n">
        <v>4</v>
      </c>
      <c r="O22" s="28" t="n">
        <v>0</v>
      </c>
      <c r="P22" s="28" t="n">
        <v>3</v>
      </c>
      <c r="Q22" s="28" t="n">
        <v>3</v>
      </c>
      <c r="R22" s="28" t="n">
        <v>2</v>
      </c>
      <c r="S22" s="28" t="n">
        <v>2</v>
      </c>
      <c r="T22" s="28" t="n">
        <v>2</v>
      </c>
      <c r="U22" s="28" t="n">
        <v>15</v>
      </c>
    </row>
    <row r="23" customFormat="false" ht="16.4" hidden="false" customHeight="false" outlineLevel="0" collapsed="false">
      <c r="A23" s="175"/>
      <c r="B23" s="187" t="s">
        <v>471</v>
      </c>
      <c r="C23" s="177"/>
      <c r="D23" s="178" t="s">
        <v>445</v>
      </c>
      <c r="E23" s="178" t="s">
        <v>450</v>
      </c>
      <c r="F23" s="179" t="n">
        <v>0</v>
      </c>
      <c r="G23" s="180" t="s">
        <v>448</v>
      </c>
      <c r="H23" s="28" t="n">
        <v>1</v>
      </c>
      <c r="I23" s="28" t="n">
        <v>0</v>
      </c>
      <c r="J23" s="28" t="n">
        <v>0</v>
      </c>
      <c r="K23" s="28" t="n">
        <v>0</v>
      </c>
      <c r="L23" s="28" t="n">
        <v>0</v>
      </c>
      <c r="M23" s="28" t="n">
        <v>0</v>
      </c>
      <c r="N23" s="28" t="n">
        <v>0</v>
      </c>
      <c r="O23" s="28" t="n">
        <v>1</v>
      </c>
      <c r="P23" s="28" t="n">
        <v>0</v>
      </c>
      <c r="Q23" s="28" t="n">
        <v>0</v>
      </c>
      <c r="R23" s="28" t="n">
        <v>0</v>
      </c>
      <c r="S23" s="28" t="n">
        <v>0</v>
      </c>
      <c r="T23" s="28" t="n">
        <v>0</v>
      </c>
      <c r="U23" s="28" t="n">
        <v>0</v>
      </c>
    </row>
    <row r="24" customFormat="false" ht="15" hidden="false" customHeight="false" outlineLevel="0" collapsed="false">
      <c r="A24" s="188" t="s">
        <v>472</v>
      </c>
      <c r="B24" s="189"/>
      <c r="C24" s="177"/>
      <c r="D24" s="178"/>
      <c r="E24" s="178"/>
      <c r="F24" s="179"/>
      <c r="G24" s="180"/>
      <c r="H24" s="28"/>
      <c r="I24" s="28"/>
      <c r="J24" s="28"/>
      <c r="K24" s="28"/>
      <c r="L24" s="28"/>
      <c r="M24" s="28"/>
      <c r="N24" s="28"/>
      <c r="O24" s="104"/>
      <c r="P24" s="104"/>
      <c r="Q24" s="104"/>
      <c r="R24" s="104"/>
      <c r="S24" s="104"/>
      <c r="T24" s="104"/>
      <c r="U24" s="104"/>
    </row>
    <row r="25" customFormat="false" ht="16.4" hidden="false" customHeight="false" outlineLevel="0" collapsed="false">
      <c r="A25" s="188"/>
      <c r="B25" s="190" t="s">
        <v>473</v>
      </c>
      <c r="C25" s="181" t="str">
        <f aca="false">IF(B2="Team Extension", "N", "Y")</f>
        <v>Y</v>
      </c>
      <c r="D25" s="191" t="s">
        <v>445</v>
      </c>
      <c r="E25" s="178" t="s">
        <v>446</v>
      </c>
      <c r="F25" s="179"/>
      <c r="G25" s="180"/>
      <c r="H25" s="28" t="s">
        <v>452</v>
      </c>
      <c r="I25" s="28" t="s">
        <v>452</v>
      </c>
      <c r="J25" s="28" t="s">
        <v>452</v>
      </c>
      <c r="K25" s="28"/>
      <c r="L25" s="28" t="s">
        <v>447</v>
      </c>
      <c r="M25" s="28" t="s">
        <v>447</v>
      </c>
      <c r="N25" s="28" t="s">
        <v>447</v>
      </c>
      <c r="O25" s="28" t="s">
        <v>447</v>
      </c>
      <c r="P25" s="28" t="s">
        <v>447</v>
      </c>
      <c r="Q25" s="28" t="s">
        <v>447</v>
      </c>
      <c r="R25" s="28" t="s">
        <v>447</v>
      </c>
      <c r="S25" s="28" t="s">
        <v>447</v>
      </c>
      <c r="T25" s="28" t="s">
        <v>447</v>
      </c>
      <c r="U25" s="28" t="s">
        <v>447</v>
      </c>
    </row>
    <row r="26" customFormat="false" ht="16.4" hidden="false" customHeight="false" outlineLevel="0" collapsed="false">
      <c r="A26" s="188"/>
      <c r="B26" s="190" t="s">
        <v>474</v>
      </c>
      <c r="C26" s="181" t="str">
        <f aca="false">IF(B2="Team Extension", "N", "Y")</f>
        <v>Y</v>
      </c>
      <c r="D26" s="191" t="s">
        <v>445</v>
      </c>
      <c r="E26" s="178" t="s">
        <v>446</v>
      </c>
      <c r="F26" s="179"/>
      <c r="G26" s="180"/>
      <c r="H26" s="28" t="s">
        <v>452</v>
      </c>
      <c r="I26" s="28" t="s">
        <v>452</v>
      </c>
      <c r="J26" s="28" t="s">
        <v>452</v>
      </c>
      <c r="K26" s="28"/>
      <c r="L26" s="28" t="s">
        <v>447</v>
      </c>
      <c r="M26" s="28" t="s">
        <v>447</v>
      </c>
      <c r="N26" s="28" t="s">
        <v>447</v>
      </c>
      <c r="O26" s="28" t="s">
        <v>447</v>
      </c>
      <c r="P26" s="28" t="s">
        <v>447</v>
      </c>
      <c r="Q26" s="28" t="s">
        <v>447</v>
      </c>
      <c r="R26" s="28" t="s">
        <v>447</v>
      </c>
      <c r="S26" s="28" t="s">
        <v>447</v>
      </c>
      <c r="T26" s="28" t="s">
        <v>447</v>
      </c>
      <c r="U26" s="28" t="s">
        <v>447</v>
      </c>
    </row>
    <row r="27" customFormat="false" ht="16.4" hidden="false" customHeight="false" outlineLevel="0" collapsed="false">
      <c r="A27" s="188"/>
      <c r="B27" s="190" t="s">
        <v>475</v>
      </c>
      <c r="C27" s="192" t="s">
        <v>444</v>
      </c>
      <c r="D27" s="191" t="s">
        <v>445</v>
      </c>
      <c r="E27" s="191" t="s">
        <v>476</v>
      </c>
      <c r="F27" s="179"/>
      <c r="G27" s="180"/>
      <c r="H27" s="28" t="n">
        <v>100</v>
      </c>
      <c r="I27" s="28" t="n">
        <v>100</v>
      </c>
      <c r="J27" s="28" t="n">
        <v>100</v>
      </c>
      <c r="K27" s="28" t="n">
        <v>100</v>
      </c>
      <c r="L27" s="28" t="n">
        <v>100</v>
      </c>
      <c r="M27" s="28" t="n">
        <v>100</v>
      </c>
      <c r="N27" s="28" t="n">
        <v>100</v>
      </c>
      <c r="O27" s="28" t="n">
        <v>100</v>
      </c>
      <c r="P27" s="28" t="n">
        <v>100</v>
      </c>
      <c r="Q27" s="28" t="n">
        <v>100</v>
      </c>
      <c r="R27" s="28" t="n">
        <v>100</v>
      </c>
      <c r="S27" s="28" t="n">
        <v>100</v>
      </c>
      <c r="T27" s="28" t="n">
        <v>100</v>
      </c>
      <c r="U27" s="28" t="n">
        <v>100</v>
      </c>
    </row>
    <row r="28" customFormat="false" ht="16.4" hidden="false" customHeight="false" outlineLevel="0" collapsed="false">
      <c r="A28" s="188"/>
      <c r="B28" s="190" t="s">
        <v>477</v>
      </c>
      <c r="C28" s="192" t="s">
        <v>444</v>
      </c>
      <c r="D28" s="191" t="s">
        <v>445</v>
      </c>
      <c r="E28" s="178" t="s">
        <v>450</v>
      </c>
      <c r="F28" s="179"/>
      <c r="G28" s="180"/>
      <c r="H28" s="28" t="n">
        <v>0</v>
      </c>
      <c r="I28" s="28" t="n">
        <v>0</v>
      </c>
      <c r="J28" s="28" t="n">
        <v>0</v>
      </c>
      <c r="K28" s="28" t="n">
        <v>0</v>
      </c>
      <c r="L28" s="28" t="n">
        <v>1</v>
      </c>
      <c r="M28" s="28" t="n">
        <v>1</v>
      </c>
      <c r="N28" s="28" t="n">
        <v>1</v>
      </c>
      <c r="O28" s="28" t="n">
        <v>1</v>
      </c>
      <c r="P28" s="28" t="n">
        <v>0</v>
      </c>
      <c r="Q28" s="28" t="n">
        <v>0</v>
      </c>
      <c r="R28" s="28" t="n">
        <v>0</v>
      </c>
      <c r="S28" s="28" t="n">
        <v>0</v>
      </c>
      <c r="T28" s="28" t="n">
        <v>0</v>
      </c>
      <c r="U28" s="28" t="n">
        <v>0</v>
      </c>
    </row>
    <row r="29" customFormat="false" ht="16.4" hidden="false" customHeight="true" outlineLevel="0" collapsed="false">
      <c r="A29" s="183" t="s">
        <v>478</v>
      </c>
      <c r="B29" s="176"/>
      <c r="C29" s="183"/>
      <c r="D29" s="191"/>
      <c r="E29" s="191"/>
      <c r="F29" s="179"/>
      <c r="G29" s="180"/>
      <c r="H29" s="28"/>
      <c r="I29" s="28"/>
      <c r="J29" s="28" t="s">
        <v>479</v>
      </c>
      <c r="K29" s="28"/>
      <c r="L29" s="28"/>
      <c r="M29" s="28"/>
      <c r="N29" s="28"/>
      <c r="O29" s="28"/>
      <c r="P29" s="28"/>
      <c r="Q29" s="28"/>
      <c r="R29" s="28"/>
      <c r="S29" s="28"/>
      <c r="T29" s="28"/>
      <c r="U29" s="28"/>
    </row>
    <row r="30" customFormat="false" ht="16.4" hidden="false" customHeight="false" outlineLevel="0" collapsed="false">
      <c r="A30" s="183"/>
      <c r="B30" s="176" t="s">
        <v>480</v>
      </c>
      <c r="C30" s="181" t="str">
        <f aca="false">IF(B2="Team Extension", "N", "Y")</f>
        <v>Y</v>
      </c>
      <c r="D30" s="191" t="s">
        <v>445</v>
      </c>
      <c r="E30" s="193" t="s">
        <v>481</v>
      </c>
      <c r="F30" s="179"/>
      <c r="G30" s="180"/>
      <c r="H30" s="28" t="s">
        <v>482</v>
      </c>
      <c r="I30" s="28" t="s">
        <v>482</v>
      </c>
      <c r="J30" s="28" t="s">
        <v>482</v>
      </c>
      <c r="K30" s="28" t="s">
        <v>482</v>
      </c>
      <c r="L30" s="28" t="s">
        <v>482</v>
      </c>
      <c r="M30" s="28" t="s">
        <v>482</v>
      </c>
      <c r="N30" s="28" t="s">
        <v>483</v>
      </c>
      <c r="O30" s="28" t="s">
        <v>479</v>
      </c>
      <c r="P30" s="28" t="s">
        <v>479</v>
      </c>
      <c r="Q30" s="28" t="s">
        <v>479</v>
      </c>
      <c r="R30" s="28" t="s">
        <v>479</v>
      </c>
      <c r="S30" s="28" t="s">
        <v>479</v>
      </c>
      <c r="T30" s="28" t="s">
        <v>479</v>
      </c>
      <c r="U30" s="28" t="s">
        <v>479</v>
      </c>
    </row>
    <row r="31" customFormat="false" ht="16.4" hidden="false" customHeight="false" outlineLevel="0" collapsed="false">
      <c r="A31" s="183"/>
      <c r="B31" s="176" t="s">
        <v>484</v>
      </c>
      <c r="C31" s="181" t="str">
        <f aca="false">IF(B2="Team Extension", "N", "Y")</f>
        <v>Y</v>
      </c>
      <c r="D31" s="191" t="s">
        <v>445</v>
      </c>
      <c r="E31" s="193" t="s">
        <v>481</v>
      </c>
      <c r="F31" s="179"/>
      <c r="G31" s="180"/>
      <c r="H31" s="28" t="n">
        <v>0</v>
      </c>
      <c r="I31" s="28" t="n">
        <v>0</v>
      </c>
      <c r="J31" s="28" t="n">
        <v>0</v>
      </c>
      <c r="K31" s="28" t="n">
        <v>0</v>
      </c>
      <c r="L31" s="28" t="n">
        <v>0</v>
      </c>
      <c r="M31" s="28" t="n">
        <v>0</v>
      </c>
      <c r="N31" s="28" t="n">
        <v>0</v>
      </c>
      <c r="O31" s="28" t="n">
        <v>0</v>
      </c>
      <c r="P31" s="28" t="n">
        <v>0</v>
      </c>
      <c r="Q31" s="28" t="n">
        <v>0</v>
      </c>
      <c r="R31" s="28" t="n">
        <v>0</v>
      </c>
      <c r="S31" s="28" t="n">
        <v>0</v>
      </c>
      <c r="T31" s="28" t="n">
        <v>0</v>
      </c>
      <c r="U31" s="28" t="n">
        <v>0</v>
      </c>
    </row>
    <row r="32" customFormat="false" ht="16.4" hidden="false" customHeight="false" outlineLevel="0" collapsed="false">
      <c r="A32" s="183"/>
      <c r="B32" s="176" t="s">
        <v>485</v>
      </c>
      <c r="C32" s="177" t="s">
        <v>444</v>
      </c>
      <c r="D32" s="191" t="s">
        <v>445</v>
      </c>
      <c r="E32" s="178" t="s">
        <v>450</v>
      </c>
      <c r="F32" s="179"/>
      <c r="G32" s="180"/>
      <c r="H32" s="28" t="n">
        <v>0</v>
      </c>
      <c r="I32" s="28" t="n">
        <v>0</v>
      </c>
      <c r="J32" s="28" t="n">
        <v>1</v>
      </c>
      <c r="K32" s="28" t="n">
        <v>1</v>
      </c>
      <c r="L32" s="28" t="n">
        <v>1</v>
      </c>
      <c r="M32" s="28" t="n">
        <v>1</v>
      </c>
      <c r="N32" s="28" t="n">
        <v>1</v>
      </c>
      <c r="O32" s="28" t="n">
        <v>1</v>
      </c>
      <c r="P32" s="28" t="n">
        <v>1</v>
      </c>
      <c r="Q32" s="28" t="n">
        <v>1</v>
      </c>
      <c r="R32" s="28" t="n">
        <v>1</v>
      </c>
      <c r="S32" s="28" t="n">
        <v>1</v>
      </c>
      <c r="T32" s="28" t="n">
        <v>1</v>
      </c>
      <c r="U32" s="28" t="n">
        <v>1</v>
      </c>
    </row>
    <row r="33" customFormat="false" ht="30.75" hidden="false" customHeight="false" outlineLevel="0" collapsed="false">
      <c r="A33" s="183"/>
      <c r="B33" s="176" t="s">
        <v>486</v>
      </c>
      <c r="C33" s="177" t="s">
        <v>444</v>
      </c>
      <c r="D33" s="191" t="s">
        <v>445</v>
      </c>
      <c r="E33" s="178" t="s">
        <v>446</v>
      </c>
      <c r="F33" s="179"/>
      <c r="G33" s="180"/>
      <c r="H33" s="28" t="s">
        <v>36</v>
      </c>
      <c r="I33" s="28" t="s">
        <v>36</v>
      </c>
      <c r="J33" s="28" t="s">
        <v>34</v>
      </c>
      <c r="K33" s="28" t="s">
        <v>34</v>
      </c>
      <c r="L33" s="28" t="s">
        <v>36</v>
      </c>
      <c r="M33" s="28" t="s">
        <v>36</v>
      </c>
      <c r="N33" s="28" t="s">
        <v>36</v>
      </c>
      <c r="O33" s="28" t="s">
        <v>36</v>
      </c>
      <c r="P33" s="28" t="s">
        <v>36</v>
      </c>
      <c r="Q33" s="28" t="s">
        <v>36</v>
      </c>
      <c r="R33" s="28" t="s">
        <v>36</v>
      </c>
      <c r="S33" s="28" t="s">
        <v>36</v>
      </c>
      <c r="T33" s="28" t="s">
        <v>36</v>
      </c>
      <c r="U33" s="28" t="s">
        <v>36</v>
      </c>
    </row>
    <row r="34" customFormat="false" ht="15" hidden="false" customHeight="false" outlineLevel="0" collapsed="false">
      <c r="A34" s="194" t="s">
        <v>487</v>
      </c>
      <c r="B34" s="194"/>
      <c r="C34" s="175"/>
      <c r="D34" s="178"/>
      <c r="E34" s="178"/>
      <c r="F34" s="179"/>
      <c r="G34" s="180"/>
      <c r="H34" s="28"/>
      <c r="I34" s="28"/>
      <c r="J34" s="28"/>
      <c r="K34" s="28"/>
      <c r="L34" s="28"/>
      <c r="M34" s="28"/>
      <c r="N34" s="28"/>
      <c r="O34" s="104"/>
      <c r="P34" s="104"/>
      <c r="Q34" s="104"/>
      <c r="R34" s="104"/>
      <c r="S34" s="104"/>
      <c r="T34" s="104"/>
      <c r="U34" s="104"/>
    </row>
    <row r="35" customFormat="false" ht="16.4" hidden="false" customHeight="false" outlineLevel="0" collapsed="false">
      <c r="A35" s="195"/>
      <c r="B35" s="196" t="s">
        <v>488</v>
      </c>
      <c r="C35" s="177"/>
      <c r="D35" s="178"/>
      <c r="E35" s="178"/>
      <c r="F35" s="179"/>
      <c r="G35" s="180"/>
      <c r="H35" s="28"/>
      <c r="I35" s="28"/>
      <c r="J35" s="28"/>
      <c r="K35" s="28"/>
      <c r="L35" s="28"/>
      <c r="M35" s="28"/>
      <c r="N35" s="28"/>
      <c r="O35" s="104"/>
      <c r="P35" s="104"/>
      <c r="Q35" s="104"/>
      <c r="R35" s="104"/>
      <c r="S35" s="104"/>
      <c r="T35" s="104"/>
      <c r="U35" s="104"/>
    </row>
    <row r="36" customFormat="false" ht="15" hidden="false" customHeight="false" outlineLevel="0" collapsed="false">
      <c r="A36" s="197" t="s">
        <v>489</v>
      </c>
      <c r="B36" s="176"/>
      <c r="C36" s="177"/>
      <c r="D36" s="178"/>
      <c r="E36" s="178"/>
      <c r="F36" s="179"/>
      <c r="G36" s="180"/>
      <c r="H36" s="28"/>
      <c r="I36" s="28"/>
      <c r="J36" s="28"/>
      <c r="K36" s="28"/>
      <c r="L36" s="28"/>
      <c r="M36" s="28"/>
      <c r="N36" s="28"/>
      <c r="O36" s="104"/>
      <c r="P36" s="104"/>
      <c r="Q36" s="104"/>
      <c r="R36" s="104"/>
      <c r="S36" s="104"/>
      <c r="T36" s="104"/>
      <c r="U36" s="104"/>
    </row>
    <row r="37" customFormat="false" ht="16.4" hidden="false" customHeight="false" outlineLevel="0" collapsed="false">
      <c r="A37" s="197"/>
      <c r="B37" s="176" t="s">
        <v>490</v>
      </c>
      <c r="C37" s="177"/>
      <c r="D37" s="178" t="s">
        <v>445</v>
      </c>
      <c r="E37" s="178"/>
      <c r="F37" s="179" t="s">
        <v>491</v>
      </c>
      <c r="G37" s="180" t="s">
        <v>492</v>
      </c>
      <c r="H37" s="28" t="s">
        <v>493</v>
      </c>
      <c r="I37" s="28" t="s">
        <v>493</v>
      </c>
      <c r="J37" s="28" t="s">
        <v>493</v>
      </c>
      <c r="K37" s="28" t="s">
        <v>493</v>
      </c>
      <c r="L37" s="28" t="s">
        <v>493</v>
      </c>
      <c r="M37" s="28" t="s">
        <v>493</v>
      </c>
      <c r="N37" s="28" t="s">
        <v>493</v>
      </c>
      <c r="O37" s="28" t="s">
        <v>493</v>
      </c>
      <c r="P37" s="28" t="s">
        <v>493</v>
      </c>
      <c r="Q37" s="28" t="s">
        <v>493</v>
      </c>
      <c r="R37" s="28" t="s">
        <v>493</v>
      </c>
      <c r="S37" s="28" t="s">
        <v>493</v>
      </c>
      <c r="T37" s="28" t="s">
        <v>493</v>
      </c>
      <c r="U37" s="28" t="s">
        <v>493</v>
      </c>
    </row>
    <row r="38" customFormat="false" ht="16.4" hidden="false" customHeight="false" outlineLevel="0" collapsed="false">
      <c r="A38" s="197"/>
      <c r="B38" s="198" t="s">
        <v>494</v>
      </c>
      <c r="C38" s="177"/>
      <c r="D38" s="199" t="s">
        <v>445</v>
      </c>
      <c r="E38" s="199"/>
      <c r="F38" s="200" t="s">
        <v>495</v>
      </c>
      <c r="G38" s="200"/>
      <c r="H38" s="104"/>
      <c r="I38" s="104"/>
      <c r="J38" s="104"/>
      <c r="K38" s="104"/>
      <c r="L38" s="104"/>
      <c r="M38" s="104"/>
      <c r="N38" s="104"/>
      <c r="O38" s="104"/>
      <c r="P38" s="104"/>
      <c r="Q38" s="104"/>
      <c r="R38" s="201"/>
      <c r="S38" s="201"/>
      <c r="T38" s="201"/>
      <c r="U38" s="201"/>
    </row>
    <row r="39" customFormat="false" ht="16.4" hidden="false" customHeight="false" outlineLevel="0" collapsed="false">
      <c r="A39" s="197"/>
      <c r="B39" s="176" t="s">
        <v>496</v>
      </c>
      <c r="C39" s="177"/>
      <c r="D39" s="178" t="s">
        <v>445</v>
      </c>
      <c r="E39" s="178"/>
      <c r="F39" s="179" t="s">
        <v>497</v>
      </c>
      <c r="G39" s="180" t="s">
        <v>492</v>
      </c>
      <c r="H39" s="28" t="n">
        <v>10</v>
      </c>
      <c r="I39" s="28" t="n">
        <v>15</v>
      </c>
      <c r="J39" s="28" t="n">
        <v>15</v>
      </c>
      <c r="K39" s="28" t="n">
        <v>10</v>
      </c>
      <c r="L39" s="28" t="n">
        <v>10</v>
      </c>
      <c r="M39" s="28" t="n">
        <v>10</v>
      </c>
      <c r="N39" s="28" t="n">
        <v>10</v>
      </c>
      <c r="O39" s="28" t="n">
        <v>10</v>
      </c>
      <c r="P39" s="28" t="n">
        <v>10</v>
      </c>
      <c r="Q39" s="28" t="n">
        <v>10</v>
      </c>
      <c r="R39" s="28" t="n">
        <v>10</v>
      </c>
      <c r="S39" s="28" t="n">
        <v>10</v>
      </c>
      <c r="T39" s="28" t="n">
        <v>10</v>
      </c>
      <c r="U39" s="28" t="n">
        <v>10</v>
      </c>
    </row>
    <row r="45" customFormat="false" ht="15" hidden="false" customHeight="false" outlineLevel="0" collapsed="false">
      <c r="G45" s="120"/>
    </row>
  </sheetData>
  <mergeCells count="6">
    <mergeCell ref="A4:A15"/>
    <mergeCell ref="A16:A23"/>
    <mergeCell ref="A24:A28"/>
    <mergeCell ref="A29:A33"/>
    <mergeCell ref="A34:B34"/>
    <mergeCell ref="A36:A39"/>
  </mergeCells>
  <conditionalFormatting sqref="U29:U33">
    <cfRule type="cellIs" priority="2" operator="equal" aboveAverage="0" equalAverage="0" bottom="0" percent="0" rank="0" text="" dxfId="4">
      <formula>"MEDIUM"</formula>
    </cfRule>
    <cfRule type="cellIs" priority="3" operator="equal" aboveAverage="0" equalAverage="0" bottom="0" percent="0" rank="0" text="" dxfId="5">
      <formula>"LOW"</formula>
    </cfRule>
    <cfRule type="cellIs" priority="4" operator="equal" aboveAverage="0" equalAverage="0" bottom="0" percent="0" rank="0" text="" dxfId="6">
      <formula>"HIGH"</formula>
    </cfRule>
  </conditionalFormatting>
  <conditionalFormatting sqref="T29:T33">
    <cfRule type="cellIs" priority="5" operator="equal" aboveAverage="0" equalAverage="0" bottom="0" percent="0" rank="0" text="" dxfId="7">
      <formula>"MEDIUM"</formula>
    </cfRule>
    <cfRule type="cellIs" priority="6" operator="equal" aboveAverage="0" equalAverage="0" bottom="0" percent="0" rank="0" text="" dxfId="8">
      <formula>"LOW"</formula>
    </cfRule>
    <cfRule type="cellIs" priority="7" operator="equal" aboveAverage="0" equalAverage="0" bottom="0" percent="0" rank="0" text="" dxfId="9">
      <formula>"HIGH"</formula>
    </cfRule>
  </conditionalFormatting>
  <conditionalFormatting sqref="S29:S33">
    <cfRule type="cellIs" priority="8" operator="equal" aboveAverage="0" equalAverage="0" bottom="0" percent="0" rank="0" text="" dxfId="10">
      <formula>"MEDIUM"</formula>
    </cfRule>
    <cfRule type="cellIs" priority="9" operator="equal" aboveAverage="0" equalAverage="0" bottom="0" percent="0" rank="0" text="" dxfId="11">
      <formula>"LOW"</formula>
    </cfRule>
    <cfRule type="cellIs" priority="10" operator="equal" aboveAverage="0" equalAverage="0" bottom="0" percent="0" rank="0" text="" dxfId="12">
      <formula>"HIGH"</formula>
    </cfRule>
  </conditionalFormatting>
  <conditionalFormatting sqref="C38">
    <cfRule type="cellIs" priority="11" operator="equal" aboveAverage="0" equalAverage="0" bottom="0" percent="0" rank="0" text="" dxfId="13">
      <formula>"N"</formula>
    </cfRule>
  </conditionalFormatting>
  <conditionalFormatting sqref="C4:C37 C39">
    <cfRule type="cellIs" priority="12" operator="equal" aboveAverage="0" equalAverage="0" bottom="0" percent="0" rank="0" text="" dxfId="14">
      <formula>"N"</formula>
    </cfRule>
  </conditionalFormatting>
  <conditionalFormatting sqref="R29:R33">
    <cfRule type="cellIs" priority="13" operator="equal" aboveAverage="0" equalAverage="0" bottom="0" percent="0" rank="0" text="" dxfId="15">
      <formula>"MEDIUM"</formula>
    </cfRule>
    <cfRule type="cellIs" priority="14" operator="equal" aboveAverage="0" equalAverage="0" bottom="0" percent="0" rank="0" text="" dxfId="16">
      <formula>"LOW"</formula>
    </cfRule>
    <cfRule type="cellIs" priority="15" operator="equal" aboveAverage="0" equalAverage="0" bottom="0" percent="0" rank="0" text="" dxfId="17">
      <formula>"HIGH"</formula>
    </cfRule>
  </conditionalFormatting>
  <conditionalFormatting sqref="Q29:Q33">
    <cfRule type="cellIs" priority="16" operator="equal" aboveAverage="0" equalAverage="0" bottom="0" percent="0" rank="0" text="" dxfId="18">
      <formula>"MEDIUM"</formula>
    </cfRule>
    <cfRule type="cellIs" priority="17" operator="equal" aboveAverage="0" equalAverage="0" bottom="0" percent="0" rank="0" text="" dxfId="19">
      <formula>"LOW"</formula>
    </cfRule>
    <cfRule type="cellIs" priority="18" operator="equal" aboveAverage="0" equalAverage="0" bottom="0" percent="0" rank="0" text="" dxfId="20">
      <formula>"HIGH"</formula>
    </cfRule>
  </conditionalFormatting>
  <conditionalFormatting sqref="P29:P33">
    <cfRule type="cellIs" priority="19" operator="equal" aboveAverage="0" equalAverage="0" bottom="0" percent="0" rank="0" text="" dxfId="21">
      <formula>"MEDIUM"</formula>
    </cfRule>
    <cfRule type="cellIs" priority="20" operator="equal" aboveAverage="0" equalAverage="0" bottom="0" percent="0" rank="0" text="" dxfId="22">
      <formula>"LOW"</formula>
    </cfRule>
    <cfRule type="cellIs" priority="21" operator="equal" aboveAverage="0" equalAverage="0" bottom="0" percent="0" rank="0" text="" dxfId="23">
      <formula>"HIGH"</formula>
    </cfRule>
  </conditionalFormatting>
  <conditionalFormatting sqref="O29:O33">
    <cfRule type="cellIs" priority="22" operator="equal" aboveAverage="0" equalAverage="0" bottom="0" percent="0" rank="0" text="" dxfId="24">
      <formula>"MEDIUM"</formula>
    </cfRule>
    <cfRule type="cellIs" priority="23" operator="equal" aboveAverage="0" equalAverage="0" bottom="0" percent="0" rank="0" text="" dxfId="25">
      <formula>"LOW"</formula>
    </cfRule>
    <cfRule type="cellIs" priority="24" operator="equal" aboveAverage="0" equalAverage="0" bottom="0" percent="0" rank="0" text="" dxfId="26">
      <formula>"HIGH"</formula>
    </cfRule>
  </conditionalFormatting>
  <conditionalFormatting sqref="N26:U26">
    <cfRule type="cellIs" priority="25" operator="equal" aboveAverage="0" equalAverage="0" bottom="0" percent="0" rank="0" text="" dxfId="27">
      <formula>"NO"</formula>
    </cfRule>
    <cfRule type="cellIs" priority="26" operator="equal" aboveAverage="0" equalAverage="0" bottom="0" percent="0" rank="0" text="" dxfId="28">
      <formula>"YES"</formula>
    </cfRule>
  </conditionalFormatting>
  <conditionalFormatting sqref="N25:U25">
    <cfRule type="cellIs" priority="27" operator="equal" aboveAverage="0" equalAverage="0" bottom="0" percent="0" rank="0" text="" dxfId="29">
      <formula>"NO"</formula>
    </cfRule>
    <cfRule type="cellIs" priority="28" operator="equal" aboveAverage="0" equalAverage="0" bottom="0" percent="0" rank="0" text="" dxfId="30">
      <formula>"YES"</formula>
    </cfRule>
  </conditionalFormatting>
  <conditionalFormatting sqref="M25">
    <cfRule type="cellIs" priority="29" operator="equal" aboveAverage="0" equalAverage="0" bottom="0" percent="0" rank="0" text="" dxfId="31">
      <formula>"NO"</formula>
    </cfRule>
    <cfRule type="cellIs" priority="30" operator="equal" aboveAverage="0" equalAverage="0" bottom="0" percent="0" rank="0" text="" dxfId="32">
      <formula>"YES"</formula>
    </cfRule>
  </conditionalFormatting>
  <conditionalFormatting sqref="M26">
    <cfRule type="cellIs" priority="31" operator="equal" aboveAverage="0" equalAverage="0" bottom="0" percent="0" rank="0" text="" dxfId="33">
      <formula>"NO"</formula>
    </cfRule>
    <cfRule type="cellIs" priority="32" operator="equal" aboveAverage="0" equalAverage="0" bottom="0" percent="0" rank="0" text="" dxfId="34">
      <formula>"YES"</formula>
    </cfRule>
  </conditionalFormatting>
  <conditionalFormatting sqref="N29:N33">
    <cfRule type="cellIs" priority="33" operator="equal" aboveAverage="0" equalAverage="0" bottom="0" percent="0" rank="0" text="" dxfId="35">
      <formula>"MEDIUM"</formula>
    </cfRule>
    <cfRule type="cellIs" priority="34" operator="equal" aboveAverage="0" equalAverage="0" bottom="0" percent="0" rank="0" text="" dxfId="36">
      <formula>"LOW"</formula>
    </cfRule>
    <cfRule type="cellIs" priority="35" operator="equal" aboveAverage="0" equalAverage="0" bottom="0" percent="0" rank="0" text="" dxfId="37">
      <formula>"HIGH"</formula>
    </cfRule>
  </conditionalFormatting>
  <conditionalFormatting sqref="M29:M33">
    <cfRule type="cellIs" priority="36" operator="equal" aboveAverage="0" equalAverage="0" bottom="0" percent="0" rank="0" text="" dxfId="38">
      <formula>"MEDIUM"</formula>
    </cfRule>
    <cfRule type="cellIs" priority="37" operator="equal" aboveAverage="0" equalAverage="0" bottom="0" percent="0" rank="0" text="" dxfId="39">
      <formula>"LOW"</formula>
    </cfRule>
    <cfRule type="cellIs" priority="38" operator="equal" aboveAverage="0" equalAverage="0" bottom="0" percent="0" rank="0" text="" dxfId="40">
      <formula>"HIGH"</formula>
    </cfRule>
  </conditionalFormatting>
  <conditionalFormatting sqref="L29:L33">
    <cfRule type="cellIs" priority="39" operator="equal" aboveAverage="0" equalAverage="0" bottom="0" percent="0" rank="0" text="" dxfId="41">
      <formula>"MEDIUM"</formula>
    </cfRule>
    <cfRule type="cellIs" priority="40" operator="equal" aboveAverage="0" equalAverage="0" bottom="0" percent="0" rank="0" text="" dxfId="42">
      <formula>"LOW"</formula>
    </cfRule>
    <cfRule type="cellIs" priority="41" operator="equal" aboveAverage="0" equalAverage="0" bottom="0" percent="0" rank="0" text="" dxfId="43">
      <formula>"HIGH"</formula>
    </cfRule>
  </conditionalFormatting>
  <conditionalFormatting sqref="L25:L26">
    <cfRule type="cellIs" priority="42" operator="equal" aboveAverage="0" equalAverage="0" bottom="0" percent="0" rank="0" text="" dxfId="44">
      <formula>"NO"</formula>
    </cfRule>
    <cfRule type="cellIs" priority="43" operator="equal" aboveAverage="0" equalAverage="0" bottom="0" percent="0" rank="0" text="" dxfId="45">
      <formula>"YES"</formula>
    </cfRule>
  </conditionalFormatting>
  <conditionalFormatting sqref="K29:K33">
    <cfRule type="cellIs" priority="44" operator="equal" aboveAverage="0" equalAverage="0" bottom="0" percent="0" rank="0" text="" dxfId="46">
      <formula>"MEDIUM"</formula>
    </cfRule>
    <cfRule type="cellIs" priority="45" operator="equal" aboveAverage="0" equalAverage="0" bottom="0" percent="0" rank="0" text="" dxfId="47">
      <formula>"LOW"</formula>
    </cfRule>
    <cfRule type="cellIs" priority="46" operator="equal" aboveAverage="0" equalAverage="0" bottom="0" percent="0" rank="0" text="" dxfId="48">
      <formula>"HIGH"</formula>
    </cfRule>
  </conditionalFormatting>
  <conditionalFormatting sqref="K25:K26">
    <cfRule type="cellIs" priority="47" operator="equal" aboveAverage="0" equalAverage="0" bottom="0" percent="0" rank="0" text="" dxfId="49">
      <formula>"NO"</formula>
    </cfRule>
    <cfRule type="cellIs" priority="48" operator="equal" aboveAverage="0" equalAverage="0" bottom="0" percent="0" rank="0" text="" dxfId="50">
      <formula>"YES"</formula>
    </cfRule>
  </conditionalFormatting>
  <conditionalFormatting sqref="H29:J33">
    <cfRule type="cellIs" priority="49" operator="equal" aboveAverage="0" equalAverage="0" bottom="0" percent="0" rank="0" text="" dxfId="51">
      <formula>"MEDIUM"</formula>
    </cfRule>
    <cfRule type="cellIs" priority="50" operator="equal" aboveAverage="0" equalAverage="0" bottom="0" percent="0" rank="0" text="" dxfId="52">
      <formula>"LOW"</formula>
    </cfRule>
    <cfRule type="cellIs" priority="51" operator="equal" aboveAverage="0" equalAverage="0" bottom="0" percent="0" rank="0" text="" dxfId="53">
      <formula>"HIGH"</formula>
    </cfRule>
  </conditionalFormatting>
  <conditionalFormatting sqref="H25:J26">
    <cfRule type="cellIs" priority="52" operator="equal" aboveAverage="0" equalAverage="0" bottom="0" percent="0" rank="0" text="" dxfId="54">
      <formula>"NO"</formula>
    </cfRule>
    <cfRule type="cellIs" priority="53" operator="equal" aboveAverage="0" equalAverage="0" bottom="0" percent="0" rank="0" text="" dxfId="55">
      <formula>"YES"</formula>
    </cfRule>
  </conditionalFormatting>
  <conditionalFormatting sqref="H31:U32 H28:U28">
    <cfRule type="colorScale" priority="54">
      <colorScale>
        <cfvo type="num" val="0"/>
        <cfvo type="num" val="1"/>
        <color rgb="FFFFFF00"/>
        <color rgb="FF00B050"/>
      </colorScale>
    </cfRule>
  </conditionalFormatting>
  <conditionalFormatting sqref="H32:U32">
    <cfRule type="cellIs" priority="55" operator="equal" aboveAverage="0" equalAverage="0" bottom="0" percent="0" rank="0" text="" dxfId="56">
      <formula>"NO"</formula>
    </cfRule>
    <cfRule type="cellIs" priority="56" operator="equal" aboveAverage="0" equalAverage="0" bottom="0" percent="0" rank="0" text="" dxfId="57">
      <formula>"YES"</formula>
    </cfRule>
  </conditionalFormatting>
  <conditionalFormatting sqref="H27:U27">
    <cfRule type="colorScale" priority="57">
      <colorScale>
        <cfvo type="num" val="50"/>
        <cfvo type="num" val="80"/>
        <cfvo type="num" val="100"/>
        <color rgb="FFFF0000"/>
        <color rgb="FFFFEB84"/>
        <color rgb="FF00B050"/>
      </colorScale>
    </cfRule>
  </conditionalFormatting>
  <conditionalFormatting sqref="H33:U33">
    <cfRule type="colorScale" priority="58">
      <colorScale>
        <cfvo type="num" val="0"/>
        <cfvo type="num" val="1"/>
        <color rgb="FFFFFF00"/>
        <color rgb="FF00B050"/>
      </colorScale>
    </cfRule>
    <cfRule type="cellIs" priority="59" operator="equal" aboveAverage="0" equalAverage="0" bottom="0" percent="0" rank="0" text="" dxfId="58">
      <formula>"NO"</formula>
    </cfRule>
    <cfRule type="cellIs" priority="60" operator="equal" aboveAverage="0" equalAverage="0" bottom="0" percent="0" rank="0" text="" dxfId="59">
      <formula>"YES"</formula>
    </cfRule>
  </conditionalFormatting>
  <dataValidations count="5">
    <dataValidation allowBlank="true" errorStyle="stop" operator="between" showDropDown="false" showErrorMessage="true" showInputMessage="true" sqref="H29:U30" type="list">
      <formula1>"HIGH,MEDIUM,LOW"</formula1>
      <formula2>0</formula2>
    </dataValidation>
    <dataValidation allowBlank="true" errorStyle="stop" operator="between" showDropDown="false" showErrorMessage="true" showInputMessage="true" sqref="H25:U26" type="list">
      <formula1>"YES,NO"</formula1>
      <formula2>0</formula2>
    </dataValidation>
    <dataValidation allowBlank="true" errorStyle="stop" operator="between" showDropDown="false" showErrorMessage="true" showInputMessage="true" sqref="C9:C11 C14 C19 C25:C26 C30:C31 H32:U32" type="none">
      <formula1>0</formula1>
      <formula2>0</formula2>
    </dataValidation>
    <dataValidation allowBlank="true" errorStyle="stop" operator="between" showDropDown="false" showErrorMessage="true" showInputMessage="true" sqref="B2" type="list">
      <formula1>"Team Extension,Managed Team,Managed Outcome"</formula1>
      <formula2>0</formula2>
    </dataValidation>
    <dataValidation allowBlank="true" errorStyle="stop" operator="between" showDropDown="false" showErrorMessage="true" showInputMessage="true" sqref="C4:C8 C12:C13 C15:C18 C20:C24 C27:C29 C32:C35" type="list">
      <formula1>"Y,N"</formula1>
      <formula2>0</formula2>
    </dataValidation>
  </dataValidations>
  <hyperlinks>
    <hyperlink ref="B31" r:id="rId2" location="how-do-we-measure-what-matters-most-3" display="Tangible financial impact of our work? (Consult Oracle for definition of High, Medium and Low impact)"/>
  </hyperlink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G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E18" activeCellId="0" sqref="E18"/>
    </sheetView>
  </sheetViews>
  <sheetFormatPr defaultColWidth="8.59765625" defaultRowHeight="14.25" zeroHeight="false" outlineLevelRow="0" outlineLevelCol="0"/>
  <cols>
    <col collapsed="false" customWidth="true" hidden="false" outlineLevel="0" max="2" min="2" style="0" width="17.14"/>
    <col collapsed="false" customWidth="true" hidden="false" outlineLevel="0" max="3" min="3" style="0" width="21.43"/>
    <col collapsed="false" customWidth="true" hidden="false" outlineLevel="0" max="4" min="4" style="0" width="21.71"/>
    <col collapsed="false" customWidth="true" hidden="false" outlineLevel="0" max="5" min="5" style="0" width="23.43"/>
    <col collapsed="false" customWidth="true" hidden="false" outlineLevel="0" max="6" min="6" style="0" width="17.71"/>
    <col collapsed="false" customWidth="true" hidden="false" outlineLevel="0" max="7" min="7" style="0" width="14.29"/>
  </cols>
  <sheetData>
    <row r="1" customFormat="false" ht="20.25" hidden="false" customHeight="true" outlineLevel="0" collapsed="false">
      <c r="B1" s="202" t="s">
        <v>498</v>
      </c>
      <c r="C1" s="202" t="s">
        <v>499</v>
      </c>
      <c r="D1" s="202" t="s">
        <v>500</v>
      </c>
      <c r="E1" s="202" t="s">
        <v>239</v>
      </c>
      <c r="F1" s="202" t="s">
        <v>501</v>
      </c>
      <c r="G1" s="202" t="s">
        <v>240</v>
      </c>
    </row>
    <row r="2" customFormat="false" ht="14.25" hidden="false" customHeight="false" outlineLevel="0" collapsed="false">
      <c r="B2" s="102" t="s">
        <v>156</v>
      </c>
      <c r="C2" s="102" t="s">
        <v>264</v>
      </c>
      <c r="D2" s="102" t="s">
        <v>98</v>
      </c>
      <c r="E2" s="102" t="s">
        <v>258</v>
      </c>
      <c r="F2" s="102" t="s">
        <v>34</v>
      </c>
      <c r="G2" s="102" t="s">
        <v>245</v>
      </c>
    </row>
    <row r="3" customFormat="false" ht="14.25" hidden="false" customHeight="false" outlineLevel="0" collapsed="false">
      <c r="B3" s="102" t="s">
        <v>58</v>
      </c>
      <c r="C3" s="102" t="s">
        <v>247</v>
      </c>
      <c r="D3" s="102" t="s">
        <v>55</v>
      </c>
      <c r="E3" s="102" t="s">
        <v>244</v>
      </c>
      <c r="F3" s="102" t="s">
        <v>36</v>
      </c>
      <c r="G3" s="102" t="s">
        <v>253</v>
      </c>
    </row>
    <row r="4" customFormat="false" ht="14.25" hidden="false" customHeight="false" outlineLevel="0" collapsed="false">
      <c r="B4" s="102"/>
      <c r="C4" s="102" t="s">
        <v>502</v>
      </c>
      <c r="D4" s="102" t="s">
        <v>88</v>
      </c>
      <c r="E4" s="102" t="s">
        <v>252</v>
      </c>
      <c r="F4" s="102"/>
      <c r="G4" s="102"/>
    </row>
    <row r="5" customFormat="false" ht="14.25" hidden="false" customHeight="false" outlineLevel="0" collapsed="false">
      <c r="B5" s="102"/>
      <c r="C5" s="102"/>
      <c r="D5" s="102" t="s">
        <v>142</v>
      </c>
      <c r="E5" s="102"/>
      <c r="F5" s="102"/>
      <c r="G5" s="102"/>
    </row>
    <row r="6" customFormat="false" ht="14.25" hidden="false" customHeight="false" outlineLevel="0" collapsed="false">
      <c r="B6" s="102"/>
      <c r="C6" s="102"/>
      <c r="D6" s="102" t="s">
        <v>503</v>
      </c>
      <c r="E6" s="102"/>
      <c r="F6" s="102"/>
      <c r="G6" s="102"/>
    </row>
    <row r="7" customFormat="false" ht="14.25" hidden="false" customHeight="false" outlineLevel="0" collapsed="false">
      <c r="B7" s="113"/>
      <c r="C7" s="113"/>
      <c r="D7" s="113"/>
      <c r="E7" s="113"/>
      <c r="F7" s="113"/>
      <c r="G7" s="113"/>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5" activeCellId="0" sqref="A5"/>
    </sheetView>
  </sheetViews>
  <sheetFormatPr defaultColWidth="8.59765625" defaultRowHeight="14.25" zeroHeight="false" outlineLevelRow="0" outlineLevelCol="0"/>
  <cols>
    <col collapsed="false" customWidth="true" hidden="false" outlineLevel="0" max="1" min="1" style="0" width="11.57"/>
    <col collapsed="false" customWidth="true" hidden="false" outlineLevel="0" max="3" min="3" style="0" width="12"/>
  </cols>
  <sheetData>
    <row r="1" customFormat="false" ht="14.25" hidden="false" customHeight="false" outlineLevel="0" collapsed="false">
      <c r="A1" s="203" t="s">
        <v>504</v>
      </c>
      <c r="B1" s="203" t="s">
        <v>44</v>
      </c>
      <c r="C1" s="203" t="s">
        <v>505</v>
      </c>
    </row>
    <row r="2" customFormat="false" ht="14.25" hidden="false" customHeight="false" outlineLevel="0" collapsed="false">
      <c r="A2" s="204" t="s">
        <v>55</v>
      </c>
      <c r="B2" s="205" t="s">
        <v>55</v>
      </c>
      <c r="C2" s="205" t="s">
        <v>55</v>
      </c>
      <c r="D2" s="204"/>
    </row>
    <row r="3" customFormat="false" ht="14.25" hidden="false" customHeight="false" outlineLevel="0" collapsed="false">
      <c r="A3" s="204" t="s">
        <v>55</v>
      </c>
      <c r="B3" s="205" t="s">
        <v>142</v>
      </c>
      <c r="C3" s="205" t="s">
        <v>88</v>
      </c>
      <c r="D3" s="204"/>
    </row>
    <row r="4" customFormat="false" ht="14.25" hidden="false" customHeight="false" outlineLevel="0" collapsed="false">
      <c r="A4" s="204" t="s">
        <v>55</v>
      </c>
      <c r="B4" s="205" t="s">
        <v>88</v>
      </c>
      <c r="C4" s="205" t="s">
        <v>55</v>
      </c>
      <c r="D4" s="204"/>
    </row>
    <row r="5" customFormat="false" ht="14.25" hidden="false" customHeight="false" outlineLevel="0" collapsed="false">
      <c r="A5" s="204" t="s">
        <v>55</v>
      </c>
      <c r="B5" s="205" t="s">
        <v>98</v>
      </c>
      <c r="C5" s="205" t="s">
        <v>98</v>
      </c>
      <c r="D5" s="204"/>
    </row>
    <row r="6" customFormat="false" ht="14.25" hidden="false" customHeight="false" outlineLevel="0" collapsed="false">
      <c r="A6" s="204" t="s">
        <v>55</v>
      </c>
      <c r="B6" s="205" t="s">
        <v>503</v>
      </c>
      <c r="C6" s="205" t="s">
        <v>88</v>
      </c>
      <c r="D6" s="206"/>
    </row>
    <row r="7" customFormat="false" ht="14.25" hidden="false" customHeight="false" outlineLevel="0" collapsed="false">
      <c r="A7" s="204" t="s">
        <v>142</v>
      </c>
      <c r="B7" s="205" t="s">
        <v>55</v>
      </c>
      <c r="C7" s="205" t="s">
        <v>88</v>
      </c>
      <c r="D7" s="204"/>
    </row>
    <row r="8" customFormat="false" ht="14.25" hidden="false" customHeight="false" outlineLevel="0" collapsed="false">
      <c r="A8" s="204" t="s">
        <v>142</v>
      </c>
      <c r="B8" s="205" t="s">
        <v>142</v>
      </c>
      <c r="C8" s="205" t="s">
        <v>142</v>
      </c>
      <c r="D8" s="204"/>
    </row>
    <row r="9" customFormat="false" ht="14.25" hidden="false" customHeight="false" outlineLevel="0" collapsed="false">
      <c r="A9" s="204" t="s">
        <v>142</v>
      </c>
      <c r="B9" s="205" t="s">
        <v>88</v>
      </c>
      <c r="C9" s="205" t="s">
        <v>88</v>
      </c>
      <c r="D9" s="204"/>
    </row>
    <row r="10" customFormat="false" ht="14.25" hidden="false" customHeight="false" outlineLevel="0" collapsed="false">
      <c r="A10" s="204" t="s">
        <v>142</v>
      </c>
      <c r="B10" s="205" t="s">
        <v>98</v>
      </c>
      <c r="C10" s="205" t="s">
        <v>55</v>
      </c>
      <c r="D10" s="204"/>
    </row>
    <row r="11" customFormat="false" ht="14.25" hidden="false" customHeight="false" outlineLevel="0" collapsed="false">
      <c r="A11" s="204" t="s">
        <v>142</v>
      </c>
      <c r="B11" s="205" t="s">
        <v>503</v>
      </c>
      <c r="C11" s="205" t="s">
        <v>142</v>
      </c>
      <c r="D11" s="206"/>
    </row>
    <row r="12" customFormat="false" ht="14.25" hidden="false" customHeight="false" outlineLevel="0" collapsed="false">
      <c r="A12" s="204" t="s">
        <v>88</v>
      </c>
      <c r="B12" s="205" t="s">
        <v>55</v>
      </c>
      <c r="C12" s="205" t="s">
        <v>55</v>
      </c>
      <c r="D12" s="204"/>
    </row>
    <row r="13" customFormat="false" ht="14.25" hidden="false" customHeight="false" outlineLevel="0" collapsed="false">
      <c r="A13" s="204" t="s">
        <v>88</v>
      </c>
      <c r="B13" s="205" t="s">
        <v>142</v>
      </c>
      <c r="C13" s="205" t="s">
        <v>88</v>
      </c>
      <c r="D13" s="204"/>
    </row>
    <row r="14" customFormat="false" ht="14.25" hidden="false" customHeight="false" outlineLevel="0" collapsed="false">
      <c r="A14" s="204" t="s">
        <v>88</v>
      </c>
      <c r="B14" s="205" t="s">
        <v>88</v>
      </c>
      <c r="C14" s="205" t="s">
        <v>88</v>
      </c>
      <c r="D14" s="204"/>
    </row>
    <row r="15" customFormat="false" ht="14.25" hidden="false" customHeight="false" outlineLevel="0" collapsed="false">
      <c r="A15" s="204" t="s">
        <v>88</v>
      </c>
      <c r="B15" s="205" t="s">
        <v>98</v>
      </c>
      <c r="C15" s="205" t="s">
        <v>55</v>
      </c>
      <c r="D15" s="204"/>
    </row>
    <row r="16" customFormat="false" ht="14.25" hidden="false" customHeight="false" outlineLevel="0" collapsed="false">
      <c r="A16" s="204" t="s">
        <v>88</v>
      </c>
      <c r="B16" s="205" t="s">
        <v>503</v>
      </c>
      <c r="C16" s="205" t="s">
        <v>142</v>
      </c>
      <c r="D16" s="206"/>
    </row>
    <row r="17" customFormat="false" ht="14.25" hidden="false" customHeight="false" outlineLevel="0" collapsed="false">
      <c r="A17" s="204" t="s">
        <v>98</v>
      </c>
      <c r="B17" s="205" t="s">
        <v>55</v>
      </c>
      <c r="C17" s="205" t="s">
        <v>98</v>
      </c>
      <c r="D17" s="204"/>
    </row>
    <row r="18" customFormat="false" ht="14.25" hidden="false" customHeight="false" outlineLevel="0" collapsed="false">
      <c r="A18" s="204" t="s">
        <v>98</v>
      </c>
      <c r="B18" s="205" t="s">
        <v>142</v>
      </c>
      <c r="C18" s="205" t="s">
        <v>55</v>
      </c>
      <c r="D18" s="204"/>
    </row>
    <row r="19" customFormat="false" ht="14.25" hidden="false" customHeight="false" outlineLevel="0" collapsed="false">
      <c r="A19" s="204" t="s">
        <v>98</v>
      </c>
      <c r="B19" s="205" t="s">
        <v>88</v>
      </c>
      <c r="C19" s="205" t="s">
        <v>55</v>
      </c>
      <c r="D19" s="204"/>
    </row>
    <row r="20" customFormat="false" ht="14.25" hidden="false" customHeight="false" outlineLevel="0" collapsed="false">
      <c r="A20" s="204" t="s">
        <v>98</v>
      </c>
      <c r="B20" s="205" t="s">
        <v>98</v>
      </c>
      <c r="C20" s="205" t="s">
        <v>98</v>
      </c>
      <c r="D20" s="204"/>
    </row>
    <row r="21" customFormat="false" ht="14.25" hidden="false" customHeight="false" outlineLevel="0" collapsed="false">
      <c r="A21" s="204" t="s">
        <v>98</v>
      </c>
      <c r="B21" s="205" t="s">
        <v>503</v>
      </c>
      <c r="C21" s="205" t="s">
        <v>55</v>
      </c>
      <c r="D21" s="206"/>
    </row>
    <row r="22" customFormat="false" ht="14.25" hidden="false" customHeight="false" outlineLevel="0" collapsed="false">
      <c r="A22" s="204" t="s">
        <v>503</v>
      </c>
      <c r="B22" s="205" t="s">
        <v>55</v>
      </c>
      <c r="C22" s="205" t="s">
        <v>88</v>
      </c>
      <c r="D22" s="204"/>
    </row>
    <row r="23" customFormat="false" ht="14.25" hidden="false" customHeight="false" outlineLevel="0" collapsed="false">
      <c r="A23" s="204" t="s">
        <v>503</v>
      </c>
      <c r="B23" s="205" t="s">
        <v>142</v>
      </c>
      <c r="C23" s="205" t="s">
        <v>142</v>
      </c>
      <c r="D23" s="204"/>
    </row>
    <row r="24" customFormat="false" ht="14.25" hidden="false" customHeight="false" outlineLevel="0" collapsed="false">
      <c r="A24" s="204" t="s">
        <v>503</v>
      </c>
      <c r="B24" s="205" t="s">
        <v>88</v>
      </c>
      <c r="C24" s="205" t="s">
        <v>142</v>
      </c>
      <c r="D24" s="204"/>
    </row>
    <row r="25" customFormat="false" ht="14.25" hidden="false" customHeight="false" outlineLevel="0" collapsed="false">
      <c r="A25" s="204" t="s">
        <v>503</v>
      </c>
      <c r="B25" s="205" t="s">
        <v>98</v>
      </c>
      <c r="C25" s="205" t="s">
        <v>55</v>
      </c>
      <c r="D25" s="204"/>
    </row>
    <row r="26" customFormat="false" ht="14.25" hidden="false" customHeight="false" outlineLevel="0" collapsed="false">
      <c r="A26" s="204" t="s">
        <v>503</v>
      </c>
      <c r="B26" s="205" t="s">
        <v>503</v>
      </c>
      <c r="C26" s="205" t="s">
        <v>503</v>
      </c>
      <c r="D26" s="206"/>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customXml/_rels/item1.xml.rels><?xml version="1.0" encoding="UTF-8"?>
<Relationships xmlns="http://schemas.openxmlformats.org/package/2006/relationships"><Relationship Id="rId1" Type="http://schemas.openxmlformats.org/officeDocument/2006/relationships/customXmlProps" Target="itemProps1.xml"/>
</Relationships>
</file>

<file path=customXml/_rels/item2.xml.rels><?xml version="1.0" encoding="UTF-8"?>
<Relationships xmlns="http://schemas.openxmlformats.org/package/2006/relationships"><Relationship Id="rId1" Type="http://schemas.openxmlformats.org/officeDocument/2006/relationships/customXmlProps" Target="itemProps2.xml"/>
</Relationships>
</file>

<file path=customXml/_rels/item3.xml.rels><?xml version="1.0" encoding="UTF-8"?>
<Relationships xmlns="http://schemas.openxmlformats.org/package/2006/relationships"><Relationship Id="rId1" Type="http://schemas.openxmlformats.org/officeDocument/2006/relationships/customXmlProps" Target="itemProps3.xml"/>
</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1827634ACF24849A9C16E8670F58BEF" ma:contentTypeVersion="17" ma:contentTypeDescription="Create a new document." ma:contentTypeScope="" ma:versionID="5153f1289dee14049d3116e739d9dd8b">
  <xsd:schema xmlns:xsd="http://www.w3.org/2001/XMLSchema" xmlns:xs="http://www.w3.org/2001/XMLSchema" xmlns:p="http://schemas.microsoft.com/office/2006/metadata/properties" xmlns:ns1="http://schemas.microsoft.com/sharepoint/v3" xmlns:ns2="84953550-701f-4855-b001-a44ac928d91d" xmlns:ns3="3adaad2f-a060-45bc-b555-5e8ea4827d78" targetNamespace="http://schemas.microsoft.com/office/2006/metadata/properties" ma:root="true" ma:fieldsID="19ce3a9e4aa6039f6834d48412f0d16e" ns1:_="" ns2:_="" ns3:_="">
    <xsd:import namespace="http://schemas.microsoft.com/sharepoint/v3"/>
    <xsd:import namespace="84953550-701f-4855-b001-a44ac928d91d"/>
    <xsd:import namespace="3adaad2f-a060-45bc-b555-5e8ea4827d78"/>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EventHashCode" minOccurs="0"/>
                <xsd:element ref="ns3:MediaServiceGenerationTime" minOccurs="0"/>
                <xsd:element ref="ns3:MediaServiceAutoTags" minOccurs="0"/>
                <xsd:element ref="ns3:MediaServiceOCR" minOccurs="0"/>
                <xsd:element ref="ns3:MediaServiceDateTaken" minOccurs="0"/>
                <xsd:element ref="ns3:MediaLengthInSeconds" minOccurs="0"/>
                <xsd:element ref="ns3:MediaServiceSearchProperties" minOccurs="0"/>
                <xsd:element ref="ns3:MediaServiceObjectDetectorVersions" minOccurs="0"/>
                <xsd:element ref="ns3:lcf76f155ced4ddcb4097134ff3c332f" minOccurs="0"/>
                <xsd:element ref="ns2:TaxCatchAll"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3" nillable="true" ma:displayName="Unified Compliance Policy Properties" ma:hidden="true" ma:internalName="_ip_UnifiedCompliancePolicyProperties">
      <xsd:simpleType>
        <xsd:restriction base="dms:Note"/>
      </xsd:simpleType>
    </xsd:element>
    <xsd:element name="_ip_UnifiedCompliancePolicyUIAction" ma:index="24"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4953550-701f-4855-b001-a44ac928d91d" elementFormDefault="qualified">
    <xsd:import namespace="http://schemas.microsoft.com/office/2006/documentManagement/types"/>
    <xsd:import namespace="http://schemas.microsoft.com/office/infopath/2007/PartnerControls"/>
    <xsd:element name="SharedWithUsers" ma:index="8"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description="" ma:internalName="SharedWithDetails" ma:readOnly="true">
      <xsd:simpleType>
        <xsd:restriction base="dms:Note">
          <xsd:maxLength value="255"/>
        </xsd:restriction>
      </xsd:simpleType>
    </xsd:element>
    <xsd:element name="TaxCatchAll" ma:index="22" nillable="true" ma:displayName="Taxonomy Catch All Column" ma:hidden="true" ma:list="{35b087b3-2912-451b-8d7d-24ccabf2aabe}" ma:internalName="TaxCatchAll" ma:showField="CatchAllData" ma:web="84953550-701f-4855-b001-a44ac928d91d">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3adaad2f-a060-45bc-b555-5e8ea4827d78" elementFormDefault="qualified">
    <xsd:import namespace="http://schemas.microsoft.com/office/2006/documentManagement/types"/>
    <xsd:import namespace="http://schemas.microsoft.com/office/infopath/2007/PartnerControls"/>
    <xsd:element name="MediaServiceMetadata" ma:index="10" nillable="true" ma:displayName="MediaServiceMetadata" ma:description="" ma:hidden="true" ma:internalName="MediaServiceMetadata" ma:readOnly="true">
      <xsd:simpleType>
        <xsd:restriction base="dms:Note"/>
      </xsd:simpleType>
    </xsd:element>
    <xsd:element name="MediaServiceFastMetadata" ma:index="11" nillable="true" ma:displayName="MediaServiceFastMetadata" ma:description="" ma:hidden="true" ma:internalName="MediaServiceFastMetadata" ma:readOnly="true">
      <xsd:simpleType>
        <xsd:restriction base="dms:Note"/>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MediaServiceSearchProperties" ma:index="18" nillable="true" ma:displayName="MediaServiceSearchProperties" ma:hidden="true" ma:internalName="MediaServiceSearchProperties" ma:readOnly="true">
      <xsd:simpleType>
        <xsd:restriction base="dms:Note"/>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1be6fa65-833c-433b-b9ca-f6303116eca8" ma:termSetId="09814cd3-568e-fe90-9814-8d621ff8fb84" ma:anchorId="fba54fb3-c3e1-fe81-a776-ca4b69148c4d" ma:open="true" ma:isKeyword="fals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SharedWithUsers xmlns="84953550-701f-4855-b001-a44ac928d91d">
      <UserInfo>
        <DisplayName>Aneeq Anwar</DisplayName>
        <AccountId>74</AccountId>
        <AccountType/>
      </UserInfo>
      <UserInfo>
        <DisplayName>Saqib Mehboob</DisplayName>
        <AccountId>2389</AccountId>
        <AccountType/>
      </UserInfo>
      <UserInfo>
        <DisplayName>Muhammad Athar Shafiq</DisplayName>
        <AccountId>115</AccountId>
        <AccountType/>
      </UserInfo>
      <UserInfo>
        <DisplayName>Atieq ur Rehman</DisplayName>
        <AccountId>1529</AccountId>
        <AccountType/>
      </UserInfo>
      <UserInfo>
        <DisplayName>Bilal Ahmad</DisplayName>
        <AccountId>3357</AccountId>
        <AccountType/>
      </UserInfo>
      <UserInfo>
        <DisplayName>Khurram Saleem</DisplayName>
        <AccountId>44</AccountId>
        <AccountType/>
      </UserInfo>
      <UserInfo>
        <DisplayName>Aftab Butt</DisplayName>
        <AccountId>2199</AccountId>
        <AccountType/>
      </UserInfo>
      <UserInfo>
        <DisplayName>Muhammad Talha</DisplayName>
        <AccountId>2892</AccountId>
        <AccountType/>
      </UserInfo>
      <UserInfo>
        <DisplayName>Ayyaz Ahmed</DisplayName>
        <AccountId>3550</AccountId>
        <AccountType/>
      </UserInfo>
      <UserInfo>
        <DisplayName>Rehan Sarwar</DisplayName>
        <AccountId>762</AccountId>
        <AccountType/>
      </UserInfo>
      <UserInfo>
        <DisplayName>Adil Ahmed</DisplayName>
        <AccountId>3234</AccountId>
        <AccountType/>
      </UserInfo>
      <UserInfo>
        <DisplayName>Muhammad Fahid Ilyas</DisplayName>
        <AccountId>3121</AccountId>
        <AccountType/>
      </UserInfo>
      <UserInfo>
        <DisplayName>Rehman Qamar</DisplayName>
        <AccountId>104</AccountId>
        <AccountType/>
      </UserInfo>
      <UserInfo>
        <DisplayName>Nauman Hafeez</DisplayName>
        <AccountId>2145</AccountId>
        <AccountType/>
      </UserInfo>
    </SharedWithUsers>
    <lcf76f155ced4ddcb4097134ff3c332f xmlns="3adaad2f-a060-45bc-b555-5e8ea4827d78">
      <Terms xmlns="http://schemas.microsoft.com/office/infopath/2007/PartnerControls"/>
    </lcf76f155ced4ddcb4097134ff3c332f>
    <TaxCatchAll xmlns="84953550-701f-4855-b001-a44ac928d91d" xsi:nil="true"/>
    <_ip_UnifiedCompliancePolicyUIAction xmlns="http://schemas.microsoft.com/sharepoint/v3" xsi:nil="true"/>
    <_ip_UnifiedCompliancePolicyProperties xmlns="http://schemas.microsoft.com/sharepoint/v3" xsi:nil="true"/>
  </documentManagement>
</p:properties>
</file>

<file path=customXml/itemProps1.xml><?xml version="1.0" encoding="utf-8"?>
<ds:datastoreItem xmlns:ds="http://schemas.openxmlformats.org/officeDocument/2006/customXml" ds:itemID="{B31232F3-6C6F-4950-9321-F6437E6C8694}"/>
</file>

<file path=customXml/itemProps2.xml><?xml version="1.0" encoding="utf-8"?>
<ds:datastoreItem xmlns:ds="http://schemas.openxmlformats.org/officeDocument/2006/customXml" ds:itemID="{EDEFAF66-8F00-4867-A566-EE3150028116}"/>
</file>

<file path=customXml/itemProps3.xml><?xml version="1.0" encoding="utf-8"?>
<ds:datastoreItem xmlns:ds="http://schemas.openxmlformats.org/officeDocument/2006/customXml" ds:itemID="{67A2C716-10A0-48E9-A56C-0DE3DBBCF65D}"/>
</file>

<file path=docProps/app.xml><?xml version="1.0" encoding="utf-8"?>
<Properties xmlns="http://schemas.openxmlformats.org/officeDocument/2006/extended-properties" xmlns:vt="http://schemas.openxmlformats.org/officeDocument/2006/docPropsVTypes">
  <Template/>
  <TotalTime>8</TotalTime>
  <Application>LibreOffice/24.2.7.2$Linux_X86_64 LibreOffice_project/420$Build-2</Application>
  <AppVersion>15.0000</AppVersion>
  <Company>University of Waterloo</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2014-02-10T14:11:55Z</dcterms:created>
  <dc:creator>Jim Duffield</dc:creator>
  <dc:description/>
  <dc:language>en-US</dc:language>
  <cp:lastModifiedBy/>
  <dcterms:modified xsi:type="dcterms:W3CDTF">2026-04-12T11:13:52Z</dcterms:modified>
  <cp:revision>1</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0x01010001827634ACF24849A9C16E8670F58BEF</vt:lpwstr>
  </property>
  <property fmtid="{D5CDD505-2E9C-101B-9397-08002B2CF9AE}" pid="3" name="_dlc_DocIdItemGuid">
    <vt:lpwstr>bed9be7a-0920-4c63-9340-e60926519a1d</vt:lpwstr>
  </property>
</Properties>
</file>